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Workbook________ß_ß____________"/>
  <mc:AlternateContent xmlns:mc="http://schemas.openxmlformats.org/markup-compatibility/2006">
    <mc:Choice Requires="x15">
      <x15ac:absPath xmlns:x15ac="http://schemas.microsoft.com/office/spreadsheetml/2010/11/ac" url="C:\Users\pc\Desktop\excel programs with ai\ExcelProgramsWritenWithAi\"/>
    </mc:Choice>
  </mc:AlternateContent>
  <xr:revisionPtr revIDLastSave="0" documentId="8_{627CB9ED-854B-4C7C-8654-151628A846C3}" xr6:coauthVersionLast="47" xr6:coauthVersionMax="47" xr10:uidLastSave="{00000000-0000-0000-0000-000000000000}"/>
  <bookViews>
    <workbookView xWindow="-120" yWindow="-120" windowWidth="29040" windowHeight="15720" tabRatio="500" xr2:uid="{00000000-000D-0000-FFFF-FFFF00000000}"/>
  </bookViews>
  <sheets>
    <sheet name="ΡΑΝΤΕΒΟΥ" sheetId="1" r:id="rId1"/>
    <sheet name="HMERISIO_PROGRAMMA" sheetId="2" r:id="rId2"/>
    <sheet name="ΛΙΣΤΑ ΠΕΛΑΤΩΝ ΗΜΕΡΑΣ" sheetId="3" r:id="rId3"/>
    <sheet name="ΣΥΝΟΨΗ" sheetId="4" r:id="rId4"/>
    <sheet name="ΡΥΘΜΙΣΕΙΣ" sheetId="5" r:id="rId5"/>
  </sheets>
  <definedNames>
    <definedName name="_xleta.N" hidden="1" xlm="1">#NAME?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10" i="5" l="1"/>
  <c r="B8" i="5"/>
  <c r="E11" i="4"/>
  <c r="H5" i="4"/>
  <c r="B2" i="4"/>
  <c r="B2" i="3"/>
  <c r="C16" i="2"/>
  <c r="B16" i="2"/>
  <c r="B27" i="4" s="1"/>
  <c r="C15" i="2"/>
  <c r="B15" i="2"/>
  <c r="B26" i="4" s="1"/>
  <c r="C14" i="2"/>
  <c r="B14" i="2"/>
  <c r="B25" i="4" s="1"/>
  <c r="C13" i="2"/>
  <c r="B13" i="2"/>
  <c r="B24" i="4" s="1"/>
  <c r="C12" i="2"/>
  <c r="C8" i="2"/>
  <c r="B8" i="2"/>
  <c r="B19" i="4" s="1"/>
  <c r="C7" i="2"/>
  <c r="B7" i="2"/>
  <c r="B18" i="4" s="1"/>
  <c r="C6" i="2"/>
  <c r="B6" i="2"/>
  <c r="B17" i="4" s="1"/>
  <c r="C5" i="2"/>
  <c r="B5" i="2"/>
  <c r="H102" i="1"/>
  <c r="G102" i="1"/>
  <c r="H101" i="1"/>
  <c r="G101" i="1"/>
  <c r="H100" i="1"/>
  <c r="G100" i="1"/>
  <c r="H99" i="1"/>
  <c r="G99" i="1"/>
  <c r="H98" i="1"/>
  <c r="G98" i="1"/>
  <c r="H97" i="1"/>
  <c r="G97" i="1"/>
  <c r="H96" i="1"/>
  <c r="G96" i="1"/>
  <c r="H95" i="1"/>
  <c r="G95" i="1"/>
  <c r="H94" i="1"/>
  <c r="G94" i="1"/>
  <c r="H93" i="1"/>
  <c r="G93" i="1"/>
  <c r="H92" i="1"/>
  <c r="G92" i="1"/>
  <c r="H91" i="1"/>
  <c r="G91" i="1"/>
  <c r="H90" i="1"/>
  <c r="G90" i="1"/>
  <c r="H89" i="1"/>
  <c r="G89" i="1"/>
  <c r="H88" i="1"/>
  <c r="G88" i="1"/>
  <c r="H87" i="1"/>
  <c r="G87" i="1"/>
  <c r="H86" i="1"/>
  <c r="G86" i="1"/>
  <c r="H85" i="1"/>
  <c r="G85" i="1"/>
  <c r="H84" i="1"/>
  <c r="G84" i="1"/>
  <c r="H83" i="1"/>
  <c r="G83" i="1"/>
  <c r="H82" i="1"/>
  <c r="G82" i="1"/>
  <c r="H81" i="1"/>
  <c r="G81" i="1"/>
  <c r="H80" i="1"/>
  <c r="G80" i="1"/>
  <c r="H79" i="1"/>
  <c r="G79" i="1"/>
  <c r="H78" i="1"/>
  <c r="G78" i="1"/>
  <c r="H77" i="1"/>
  <c r="G77" i="1"/>
  <c r="H76" i="1"/>
  <c r="G76" i="1"/>
  <c r="H75" i="1"/>
  <c r="G75" i="1"/>
  <c r="H74" i="1"/>
  <c r="G74" i="1"/>
  <c r="H73" i="1"/>
  <c r="G73" i="1"/>
  <c r="H72" i="1"/>
  <c r="G72" i="1"/>
  <c r="H71" i="1"/>
  <c r="G71" i="1"/>
  <c r="H70" i="1"/>
  <c r="G70" i="1"/>
  <c r="H69" i="1"/>
  <c r="G69" i="1"/>
  <c r="H68" i="1"/>
  <c r="G68" i="1"/>
  <c r="H67" i="1"/>
  <c r="G67" i="1"/>
  <c r="H66" i="1"/>
  <c r="G66" i="1"/>
  <c r="H65" i="1"/>
  <c r="G65" i="1"/>
  <c r="H64" i="1"/>
  <c r="G64" i="1"/>
  <c r="H63" i="1"/>
  <c r="G63" i="1"/>
  <c r="H62" i="1"/>
  <c r="G62" i="1"/>
  <c r="H61" i="1"/>
  <c r="G61" i="1"/>
  <c r="H60" i="1"/>
  <c r="G60" i="1"/>
  <c r="H59" i="1"/>
  <c r="G59" i="1"/>
  <c r="H58" i="1"/>
  <c r="G58" i="1"/>
  <c r="H57" i="1"/>
  <c r="G57" i="1"/>
  <c r="H56" i="1"/>
  <c r="G56" i="1"/>
  <c r="H55" i="1"/>
  <c r="G55" i="1"/>
  <c r="H54" i="1"/>
  <c r="G54" i="1"/>
  <c r="H53" i="1"/>
  <c r="G53" i="1"/>
  <c r="H52" i="1"/>
  <c r="G52" i="1"/>
  <c r="H51" i="1"/>
  <c r="G51" i="1"/>
  <c r="H50" i="1"/>
  <c r="G50" i="1"/>
  <c r="H49" i="1"/>
  <c r="G49" i="1"/>
  <c r="H48" i="1"/>
  <c r="G48" i="1"/>
  <c r="H47" i="1"/>
  <c r="G47" i="1"/>
  <c r="H46" i="1"/>
  <c r="G46" i="1"/>
  <c r="H45" i="1"/>
  <c r="G45" i="1"/>
  <c r="H44" i="1"/>
  <c r="G44" i="1"/>
  <c r="H43" i="1"/>
  <c r="G43" i="1"/>
  <c r="H42" i="1"/>
  <c r="G42" i="1"/>
  <c r="H41" i="1"/>
  <c r="G41" i="1"/>
  <c r="H40" i="1"/>
  <c r="G40" i="1"/>
  <c r="H39" i="1"/>
  <c r="G39" i="1"/>
  <c r="H38" i="1"/>
  <c r="G38" i="1"/>
  <c r="H37" i="1"/>
  <c r="G37" i="1"/>
  <c r="H36" i="1"/>
  <c r="G36" i="1"/>
  <c r="H35" i="1"/>
  <c r="G35" i="1"/>
  <c r="H34" i="1"/>
  <c r="G34" i="1"/>
  <c r="H33" i="1"/>
  <c r="G33" i="1"/>
  <c r="H32" i="1"/>
  <c r="G32" i="1"/>
  <c r="H31" i="1"/>
  <c r="G31" i="1"/>
  <c r="H30" i="1"/>
  <c r="G30" i="1"/>
  <c r="H29" i="1"/>
  <c r="G29" i="1"/>
  <c r="H28" i="1"/>
  <c r="G28" i="1"/>
  <c r="H27" i="1"/>
  <c r="G27" i="1"/>
  <c r="H26" i="1"/>
  <c r="G26" i="1"/>
  <c r="H25" i="1"/>
  <c r="G25" i="1"/>
  <c r="H24" i="1"/>
  <c r="G24" i="1"/>
  <c r="H23" i="1"/>
  <c r="G23" i="1"/>
  <c r="H22" i="1"/>
  <c r="G22" i="1"/>
  <c r="H21" i="1"/>
  <c r="G21" i="1"/>
  <c r="H20" i="1"/>
  <c r="G20" i="1"/>
  <c r="H19" i="1"/>
  <c r="G19" i="1"/>
  <c r="H18" i="1"/>
  <c r="G18" i="1"/>
  <c r="H17" i="1"/>
  <c r="G17" i="1"/>
  <c r="H16" i="1"/>
  <c r="G16" i="1"/>
  <c r="H12" i="1"/>
  <c r="G12" i="1"/>
  <c r="H15" i="1"/>
  <c r="G15" i="1"/>
  <c r="H14" i="1"/>
  <c r="G14" i="1"/>
  <c r="H13" i="1"/>
  <c r="G13" i="1"/>
  <c r="H11" i="1"/>
  <c r="G11" i="1"/>
  <c r="H10" i="1"/>
  <c r="G10" i="1"/>
  <c r="H9" i="1"/>
  <c r="B12" i="2" s="1"/>
  <c r="B23" i="4" s="1"/>
  <c r="G9" i="1"/>
  <c r="H8" i="1"/>
  <c r="G8" i="1"/>
  <c r="H7" i="1"/>
  <c r="G7" i="1"/>
  <c r="H6" i="1"/>
  <c r="G6" i="1"/>
  <c r="H5" i="1"/>
  <c r="G5" i="1"/>
  <c r="H4" i="1"/>
  <c r="G4" i="1"/>
  <c r="H3" i="1"/>
  <c r="G3" i="1"/>
  <c r="C11" i="2" l="1"/>
  <c r="B11" i="2"/>
  <c r="B22" i="4" s="1"/>
  <c r="C10" i="2"/>
  <c r="B10" i="2"/>
  <c r="B21" i="4" s="1"/>
  <c r="F5" i="3"/>
  <c r="C9" i="2"/>
  <c r="B9" i="2"/>
  <c r="H8" i="4"/>
  <c r="B11" i="4"/>
  <c r="B5" i="4"/>
  <c r="E5" i="4"/>
  <c r="H11" i="4" s="1"/>
  <c r="B8" i="4"/>
  <c r="E8" i="4"/>
  <c r="E75" i="3"/>
  <c r="D75" i="3"/>
  <c r="C75" i="3"/>
  <c r="B75" i="3"/>
  <c r="A75" i="3" s="1"/>
  <c r="F74" i="3"/>
  <c r="E74" i="3"/>
  <c r="D74" i="3"/>
  <c r="C74" i="3"/>
  <c r="B74" i="3"/>
  <c r="A74" i="3" s="1"/>
  <c r="F73" i="3"/>
  <c r="E73" i="3"/>
  <c r="D73" i="3"/>
  <c r="C73" i="3"/>
  <c r="B73" i="3"/>
  <c r="A73" i="3" s="1"/>
  <c r="F72" i="3"/>
  <c r="E72" i="3"/>
  <c r="D72" i="3"/>
  <c r="C72" i="3"/>
  <c r="B72" i="3"/>
  <c r="A72" i="3" s="1"/>
  <c r="F71" i="3"/>
  <c r="E71" i="3"/>
  <c r="D71" i="3"/>
  <c r="C71" i="3"/>
  <c r="B71" i="3"/>
  <c r="A71" i="3" s="1"/>
  <c r="F70" i="3"/>
  <c r="E70" i="3"/>
  <c r="D70" i="3"/>
  <c r="C70" i="3"/>
  <c r="B70" i="3"/>
  <c r="A70" i="3" s="1"/>
  <c r="F69" i="3"/>
  <c r="E69" i="3"/>
  <c r="D69" i="3"/>
  <c r="C69" i="3"/>
  <c r="B69" i="3"/>
  <c r="A69" i="3" s="1"/>
  <c r="F68" i="3"/>
  <c r="E68" i="3"/>
  <c r="D68" i="3"/>
  <c r="E67" i="3"/>
  <c r="D66" i="3"/>
  <c r="C65" i="3"/>
  <c r="B64" i="3"/>
  <c r="A64" i="3" s="1"/>
  <c r="F62" i="3"/>
  <c r="F61" i="3"/>
  <c r="E60" i="3"/>
  <c r="D59" i="3"/>
  <c r="C58" i="3"/>
  <c r="F46" i="3"/>
  <c r="D45" i="3"/>
  <c r="B44" i="3"/>
  <c r="A44" i="3" s="1"/>
  <c r="E42" i="3"/>
  <c r="C41" i="3"/>
  <c r="C26" i="3"/>
  <c r="E24" i="3"/>
  <c r="B23" i="3"/>
  <c r="A23" i="3" s="1"/>
  <c r="F8" i="3"/>
  <c r="B7" i="3"/>
  <c r="A7" i="3" s="1"/>
  <c r="E83" i="3"/>
  <c r="F57" i="3"/>
  <c r="E57" i="3"/>
  <c r="D57" i="3"/>
  <c r="C57" i="3"/>
  <c r="B57" i="3"/>
  <c r="A57" i="3" s="1"/>
  <c r="F56" i="3"/>
  <c r="E56" i="3"/>
  <c r="D56" i="3"/>
  <c r="C56" i="3"/>
  <c r="B56" i="3"/>
  <c r="A56" i="3" s="1"/>
  <c r="F55" i="3"/>
  <c r="E55" i="3"/>
  <c r="D55" i="3"/>
  <c r="C55" i="3"/>
  <c r="B55" i="3"/>
  <c r="A55" i="3" s="1"/>
  <c r="F54" i="3"/>
  <c r="E54" i="3"/>
  <c r="D54" i="3"/>
  <c r="C54" i="3"/>
  <c r="B54" i="3"/>
  <c r="A54" i="3" s="1"/>
  <c r="F53" i="3"/>
  <c r="E53" i="3"/>
  <c r="D53" i="3"/>
  <c r="C53" i="3"/>
  <c r="B53" i="3"/>
  <c r="A53" i="3" s="1"/>
  <c r="F52" i="3"/>
  <c r="E52" i="3"/>
  <c r="D52" i="3"/>
  <c r="C52" i="3"/>
  <c r="B52" i="3"/>
  <c r="A52" i="3" s="1"/>
  <c r="F51" i="3"/>
  <c r="E51" i="3"/>
  <c r="D51" i="3"/>
  <c r="C51" i="3"/>
  <c r="B51" i="3"/>
  <c r="A51" i="3" s="1"/>
  <c r="F50" i="3"/>
  <c r="E50" i="3"/>
  <c r="D50" i="3"/>
  <c r="C50" i="3"/>
  <c r="B50" i="3"/>
  <c r="A50" i="3" s="1"/>
  <c r="F49" i="3"/>
  <c r="E49" i="3"/>
  <c r="D49" i="3"/>
  <c r="C49" i="3"/>
  <c r="B49" i="3"/>
  <c r="A49" i="3" s="1"/>
  <c r="F48" i="3"/>
  <c r="E48" i="3"/>
  <c r="D48" i="3"/>
  <c r="C48" i="3"/>
  <c r="B48" i="3"/>
  <c r="A48" i="3" s="1"/>
  <c r="F47" i="3"/>
  <c r="D47" i="3"/>
  <c r="B46" i="3"/>
  <c r="A46" i="3" s="1"/>
  <c r="E44" i="3"/>
  <c r="C43" i="3"/>
  <c r="F41" i="3"/>
  <c r="D40" i="3"/>
  <c r="D25" i="3"/>
  <c r="E23" i="3"/>
  <c r="C9" i="3"/>
  <c r="D7" i="3"/>
  <c r="B40" i="3"/>
  <c r="A40" i="3" s="1"/>
  <c r="F39" i="3"/>
  <c r="E39" i="3"/>
  <c r="D39" i="3"/>
  <c r="C39" i="3"/>
  <c r="B39" i="3"/>
  <c r="A39" i="3" s="1"/>
  <c r="F38" i="3"/>
  <c r="E38" i="3"/>
  <c r="D38" i="3"/>
  <c r="C38" i="3"/>
  <c r="B38" i="3"/>
  <c r="A38" i="3" s="1"/>
  <c r="F37" i="3"/>
  <c r="E37" i="3"/>
  <c r="D37" i="3"/>
  <c r="C37" i="3"/>
  <c r="B37" i="3"/>
  <c r="A37" i="3" s="1"/>
  <c r="F36" i="3"/>
  <c r="E36" i="3"/>
  <c r="D36" i="3"/>
  <c r="C36" i="3"/>
  <c r="B36" i="3"/>
  <c r="A36" i="3" s="1"/>
  <c r="F35" i="3"/>
  <c r="E35" i="3"/>
  <c r="D35" i="3"/>
  <c r="C35" i="3"/>
  <c r="B35" i="3"/>
  <c r="A35" i="3" s="1"/>
  <c r="F34" i="3"/>
  <c r="E34" i="3"/>
  <c r="D34" i="3"/>
  <c r="C34" i="3"/>
  <c r="B34" i="3"/>
  <c r="A34" i="3" s="1"/>
  <c r="F33" i="3"/>
  <c r="E33" i="3"/>
  <c r="D33" i="3"/>
  <c r="C33" i="3"/>
  <c r="B33" i="3"/>
  <c r="A33" i="3" s="1"/>
  <c r="F32" i="3"/>
  <c r="E32" i="3"/>
  <c r="D32" i="3"/>
  <c r="C32" i="3"/>
  <c r="B32" i="3"/>
  <c r="A32" i="3" s="1"/>
  <c r="F31" i="3"/>
  <c r="E31" i="3"/>
  <c r="D31" i="3"/>
  <c r="C31" i="3"/>
  <c r="B31" i="3"/>
  <c r="A31" i="3" s="1"/>
  <c r="F30" i="3"/>
  <c r="E30" i="3"/>
  <c r="D30" i="3"/>
  <c r="C30" i="3"/>
  <c r="B30" i="3"/>
  <c r="A30" i="3" s="1"/>
  <c r="F29" i="3"/>
  <c r="E29" i="3"/>
  <c r="D29" i="3"/>
  <c r="C29" i="3"/>
  <c r="B29" i="3"/>
  <c r="A29" i="3" s="1"/>
  <c r="F28" i="3"/>
  <c r="E28" i="3"/>
  <c r="D28" i="3"/>
  <c r="C28" i="3"/>
  <c r="B28" i="3"/>
  <c r="A28" i="3" s="1"/>
  <c r="F27" i="3"/>
  <c r="E27" i="3"/>
  <c r="D27" i="3"/>
  <c r="C27" i="3"/>
  <c r="B27" i="3"/>
  <c r="A27" i="3" s="1"/>
  <c r="F26" i="3"/>
  <c r="E26" i="3"/>
  <c r="B25" i="3"/>
  <c r="A25" i="3" s="1"/>
  <c r="B24" i="3"/>
  <c r="A24" i="3" s="1"/>
  <c r="D22" i="3"/>
  <c r="D8" i="3"/>
  <c r="B83" i="3"/>
  <c r="A83" i="3" s="1"/>
  <c r="C22" i="3"/>
  <c r="B22" i="3"/>
  <c r="A22" i="3" s="1"/>
  <c r="F21" i="3"/>
  <c r="E21" i="3"/>
  <c r="D21" i="3"/>
  <c r="C21" i="3"/>
  <c r="B21" i="3"/>
  <c r="A21" i="3" s="1"/>
  <c r="F20" i="3"/>
  <c r="E20" i="3"/>
  <c r="D20" i="3"/>
  <c r="C20" i="3"/>
  <c r="B20" i="3"/>
  <c r="A20" i="3" s="1"/>
  <c r="F19" i="3"/>
  <c r="E19" i="3"/>
  <c r="D19" i="3"/>
  <c r="C19" i="3"/>
  <c r="B19" i="3"/>
  <c r="A19" i="3" s="1"/>
  <c r="F18" i="3"/>
  <c r="E18" i="3"/>
  <c r="D18" i="3"/>
  <c r="C18" i="3"/>
  <c r="B18" i="3"/>
  <c r="A18" i="3" s="1"/>
  <c r="F17" i="3"/>
  <c r="E17" i="3"/>
  <c r="D17" i="3"/>
  <c r="C17" i="3"/>
  <c r="B17" i="3"/>
  <c r="A17" i="3" s="1"/>
  <c r="F16" i="3"/>
  <c r="E16" i="3"/>
  <c r="D16" i="3"/>
  <c r="C16" i="3"/>
  <c r="B16" i="3"/>
  <c r="A16" i="3" s="1"/>
  <c r="F15" i="3"/>
  <c r="E15" i="3"/>
  <c r="D15" i="3"/>
  <c r="C15" i="3"/>
  <c r="B15" i="3"/>
  <c r="A15" i="3" s="1"/>
  <c r="F14" i="3"/>
  <c r="E14" i="3"/>
  <c r="D14" i="3"/>
  <c r="C14" i="3"/>
  <c r="B14" i="3"/>
  <c r="A14" i="3" s="1"/>
  <c r="F13" i="3"/>
  <c r="E13" i="3"/>
  <c r="D13" i="3"/>
  <c r="C13" i="3"/>
  <c r="B13" i="3"/>
  <c r="A13" i="3" s="1"/>
  <c r="F12" i="3"/>
  <c r="E12" i="3"/>
  <c r="D12" i="3"/>
  <c r="C12" i="3"/>
  <c r="B12" i="3"/>
  <c r="A12" i="3" s="1"/>
  <c r="F11" i="3"/>
  <c r="E11" i="3"/>
  <c r="D11" i="3"/>
  <c r="C11" i="3"/>
  <c r="B11" i="3"/>
  <c r="A11" i="3" s="1"/>
  <c r="F10" i="3"/>
  <c r="E10" i="3"/>
  <c r="D10" i="3"/>
  <c r="C10" i="3"/>
  <c r="B10" i="3"/>
  <c r="A10" i="3" s="1"/>
  <c r="F9" i="3"/>
  <c r="E9" i="3"/>
  <c r="C8" i="3"/>
  <c r="F6" i="3"/>
  <c r="D82" i="3"/>
  <c r="F81" i="3"/>
  <c r="C81" i="3"/>
  <c r="E80" i="3"/>
  <c r="F79" i="3"/>
  <c r="B79" i="3"/>
  <c r="A79" i="3" s="1"/>
  <c r="C78" i="3"/>
  <c r="D77" i="3"/>
  <c r="D76" i="3"/>
  <c r="B68" i="3"/>
  <c r="A68" i="3" s="1"/>
  <c r="F66" i="3"/>
  <c r="E65" i="3"/>
  <c r="D64" i="3"/>
  <c r="C63" i="3"/>
  <c r="D61" i="3"/>
  <c r="C60" i="3"/>
  <c r="B59" i="3"/>
  <c r="A59" i="3" s="1"/>
  <c r="E47" i="3"/>
  <c r="C46" i="3"/>
  <c r="F44" i="3"/>
  <c r="D43" i="3"/>
  <c r="B42" i="3"/>
  <c r="A42" i="3" s="1"/>
  <c r="E40" i="3"/>
  <c r="E25" i="3"/>
  <c r="F23" i="3"/>
  <c r="D9" i="3"/>
  <c r="E7" i="3"/>
  <c r="E99" i="3"/>
  <c r="E78" i="3"/>
  <c r="B77" i="3"/>
  <c r="A77" i="3" s="1"/>
  <c r="B76" i="3"/>
  <c r="A76" i="3" s="1"/>
  <c r="D67" i="3"/>
  <c r="C66" i="3"/>
  <c r="B65" i="3"/>
  <c r="A65" i="3" s="1"/>
  <c r="F63" i="3"/>
  <c r="E62" i="3"/>
  <c r="E61" i="3"/>
  <c r="D60" i="3"/>
  <c r="C59" i="3"/>
  <c r="B58" i="3"/>
  <c r="A58" i="3" s="1"/>
  <c r="D46" i="3"/>
  <c r="B45" i="3"/>
  <c r="A45" i="3" s="1"/>
  <c r="E43" i="3"/>
  <c r="C42" i="3"/>
  <c r="F40" i="3"/>
  <c r="F25" i="3"/>
  <c r="C24" i="3"/>
  <c r="E22" i="3"/>
  <c r="F7" i="3"/>
  <c r="C6" i="3"/>
  <c r="D80" i="3"/>
  <c r="C79" i="3"/>
  <c r="B78" i="3"/>
  <c r="A78" i="3" s="1"/>
  <c r="C77" i="3"/>
  <c r="C76" i="3"/>
  <c r="F67" i="3"/>
  <c r="E66" i="3"/>
  <c r="D65" i="3"/>
  <c r="C64" i="3"/>
  <c r="B63" i="3"/>
  <c r="A63" i="3" s="1"/>
  <c r="B62" i="3"/>
  <c r="A62" i="3" s="1"/>
  <c r="F60" i="3"/>
  <c r="E59" i="3"/>
  <c r="D58" i="3"/>
  <c r="E46" i="3"/>
  <c r="C45" i="3"/>
  <c r="F43" i="3"/>
  <c r="D42" i="3"/>
  <c r="B41" i="3"/>
  <c r="A41" i="3" s="1"/>
  <c r="B26" i="3"/>
  <c r="A26" i="3" s="1"/>
  <c r="D24" i="3"/>
  <c r="F22" i="3"/>
  <c r="B8" i="3"/>
  <c r="A8" i="3" s="1"/>
  <c r="D6" i="3"/>
  <c r="E104" i="3"/>
  <c r="F103" i="3"/>
  <c r="C103" i="3"/>
  <c r="E102" i="3"/>
  <c r="B102" i="3"/>
  <c r="A102" i="3" s="1"/>
  <c r="D101" i="3"/>
  <c r="F100" i="3"/>
  <c r="C100" i="3"/>
  <c r="B99" i="3"/>
  <c r="A99" i="3" s="1"/>
  <c r="D98" i="3"/>
  <c r="F97" i="3"/>
  <c r="C97" i="3"/>
  <c r="E96" i="3"/>
  <c r="B96" i="3"/>
  <c r="A96" i="3" s="1"/>
  <c r="D95" i="3"/>
  <c r="F94" i="3"/>
  <c r="C94" i="3"/>
  <c r="E93" i="3"/>
  <c r="B93" i="3"/>
  <c r="A93" i="3" s="1"/>
  <c r="D92" i="3"/>
  <c r="F91" i="3"/>
  <c r="C91" i="3"/>
  <c r="E90" i="3"/>
  <c r="B90" i="3"/>
  <c r="A90" i="3" s="1"/>
  <c r="D89" i="3"/>
  <c r="F88" i="3"/>
  <c r="C88" i="3"/>
  <c r="E87" i="3"/>
  <c r="B87" i="3"/>
  <c r="A87" i="3" s="1"/>
  <c r="D86" i="3"/>
  <c r="F85" i="3"/>
  <c r="C85" i="3"/>
  <c r="E84" i="3"/>
  <c r="B84" i="3"/>
  <c r="A84" i="3" s="1"/>
  <c r="D83" i="3"/>
  <c r="F82" i="3"/>
  <c r="C82" i="3"/>
  <c r="E81" i="3"/>
  <c r="B81" i="3"/>
  <c r="A81" i="3" s="1"/>
  <c r="C80" i="3"/>
  <c r="E79" i="3"/>
  <c r="F78" i="3"/>
  <c r="F77" i="3"/>
  <c r="F76" i="3"/>
  <c r="F75" i="3"/>
  <c r="C67" i="3"/>
  <c r="B66" i="3"/>
  <c r="A66" i="3" s="1"/>
  <c r="F64" i="3"/>
  <c r="E63" i="3"/>
  <c r="C62" i="3"/>
  <c r="B61" i="3"/>
  <c r="A61" i="3" s="1"/>
  <c r="F59" i="3"/>
  <c r="E58" i="3"/>
  <c r="B47" i="3"/>
  <c r="A47" i="3" s="1"/>
  <c r="F45" i="3"/>
  <c r="C44" i="3"/>
  <c r="F42" i="3"/>
  <c r="D41" i="3"/>
  <c r="D26" i="3"/>
  <c r="F24" i="3"/>
  <c r="C23" i="3"/>
  <c r="E8" i="3"/>
  <c r="D107" i="3"/>
  <c r="D106" i="3"/>
  <c r="F104" i="3"/>
  <c r="B104" i="3"/>
  <c r="A104" i="3" s="1"/>
  <c r="D103" i="3"/>
  <c r="F102" i="3"/>
  <c r="C102" i="3"/>
  <c r="F101" i="3"/>
  <c r="C101" i="3"/>
  <c r="E100" i="3"/>
  <c r="B100" i="3"/>
  <c r="A100" i="3" s="1"/>
  <c r="D99" i="3"/>
  <c r="F98" i="3"/>
  <c r="C98" i="3"/>
  <c r="E97" i="3"/>
  <c r="B97" i="3"/>
  <c r="A97" i="3" s="1"/>
  <c r="D96" i="3"/>
  <c r="E95" i="3"/>
  <c r="B95" i="3"/>
  <c r="A95" i="3" s="1"/>
  <c r="D94" i="3"/>
  <c r="F93" i="3"/>
  <c r="C93" i="3"/>
  <c r="F92" i="3"/>
  <c r="C92" i="3"/>
  <c r="E91" i="3"/>
  <c r="B91" i="3"/>
  <c r="A91" i="3" s="1"/>
  <c r="D90" i="3"/>
  <c r="F89" i="3"/>
  <c r="C89" i="3"/>
  <c r="E88" i="3"/>
  <c r="B88" i="3"/>
  <c r="A88" i="3" s="1"/>
  <c r="D87" i="3"/>
  <c r="F86" i="3"/>
  <c r="C86" i="3"/>
  <c r="E85" i="3"/>
  <c r="B85" i="3"/>
  <c r="A85" i="3" s="1"/>
  <c r="D84" i="3"/>
  <c r="F83" i="3"/>
  <c r="C83" i="3"/>
  <c r="E82" i="3"/>
  <c r="B82" i="3"/>
  <c r="A82" i="3" s="1"/>
  <c r="D81" i="3"/>
  <c r="F80" i="3"/>
  <c r="B80" i="3"/>
  <c r="A80" i="3" s="1"/>
  <c r="D79" i="3"/>
  <c r="D78" i="3"/>
  <c r="E77" i="3"/>
  <c r="E76" i="3"/>
  <c r="C68" i="3"/>
  <c r="B67" i="3"/>
  <c r="A67" i="3" s="1"/>
  <c r="F65" i="3"/>
  <c r="E64" i="3"/>
  <c r="D63" i="3"/>
  <c r="D62" i="3"/>
  <c r="C61" i="3"/>
  <c r="B60" i="3"/>
  <c r="A60" i="3" s="1"/>
  <c r="F58" i="3"/>
  <c r="C47" i="3"/>
  <c r="E45" i="3"/>
  <c r="D44" i="3"/>
  <c r="B43" i="3"/>
  <c r="A43" i="3" s="1"/>
  <c r="E41" i="3"/>
  <c r="C40" i="3"/>
  <c r="C25" i="3"/>
  <c r="D23" i="3"/>
  <c r="B9" i="3"/>
  <c r="A9" i="3" s="1"/>
  <c r="C7" i="3"/>
  <c r="D104" i="3"/>
  <c r="C104" i="3"/>
  <c r="E103" i="3"/>
  <c r="B103" i="3"/>
  <c r="A103" i="3" s="1"/>
  <c r="D102" i="3"/>
  <c r="E101" i="3"/>
  <c r="B101" i="3"/>
  <c r="A101" i="3" s="1"/>
  <c r="D100" i="3"/>
  <c r="F99" i="3"/>
  <c r="C99" i="3"/>
  <c r="E98" i="3"/>
  <c r="B98" i="3"/>
  <c r="A98" i="3" s="1"/>
  <c r="D97" i="3"/>
  <c r="F96" i="3"/>
  <c r="C96" i="3"/>
  <c r="F95" i="3"/>
  <c r="C95" i="3"/>
  <c r="E94" i="3"/>
  <c r="B94" i="3"/>
  <c r="A94" i="3" s="1"/>
  <c r="D93" i="3"/>
  <c r="E92" i="3"/>
  <c r="B92" i="3"/>
  <c r="A92" i="3" s="1"/>
  <c r="D91" i="3"/>
  <c r="F90" i="3"/>
  <c r="C90" i="3"/>
  <c r="E89" i="3"/>
  <c r="B89" i="3"/>
  <c r="A89" i="3" s="1"/>
  <c r="D88" i="3"/>
  <c r="F87" i="3"/>
  <c r="C87" i="3"/>
  <c r="E86" i="3"/>
  <c r="B86" i="3"/>
  <c r="A86" i="3" s="1"/>
  <c r="D85" i="3"/>
  <c r="F84" i="3"/>
  <c r="C84" i="3"/>
  <c r="F16" i="2"/>
  <c r="G16" i="2"/>
  <c r="E16" i="2"/>
  <c r="D16" i="2"/>
  <c r="C27" i="4"/>
  <c r="C26" i="4"/>
  <c r="F15" i="2"/>
  <c r="G15" i="2"/>
  <c r="E15" i="2"/>
  <c r="D15" i="2"/>
  <c r="G14" i="2"/>
  <c r="F14" i="2"/>
  <c r="E14" i="2"/>
  <c r="D14" i="2"/>
  <c r="C25" i="4"/>
  <c r="D13" i="2"/>
  <c r="G13" i="2"/>
  <c r="F13" i="2"/>
  <c r="E13" i="2"/>
  <c r="C24" i="4"/>
  <c r="F12" i="2"/>
  <c r="E12" i="2"/>
  <c r="D12" i="2"/>
  <c r="G12" i="2"/>
  <c r="C23" i="4"/>
  <c r="G8" i="2"/>
  <c r="C19" i="4"/>
  <c r="F8" i="2"/>
  <c r="E8" i="2"/>
  <c r="D8" i="2"/>
  <c r="F7" i="2"/>
  <c r="C18" i="4"/>
  <c r="D7" i="2"/>
  <c r="E7" i="2"/>
  <c r="G7" i="2"/>
  <c r="C17" i="4"/>
  <c r="G6" i="2"/>
  <c r="D6" i="2"/>
  <c r="E6" i="2"/>
  <c r="F6" i="2"/>
  <c r="C16" i="4"/>
  <c r="D5" i="2"/>
  <c r="G5" i="2"/>
  <c r="F5" i="2"/>
  <c r="E5" i="2"/>
  <c r="B16" i="4"/>
  <c r="C5" i="3"/>
  <c r="E6" i="3"/>
  <c r="D5" i="3"/>
  <c r="B5" i="3"/>
  <c r="A5" i="3" s="1"/>
  <c r="E5" i="3"/>
  <c r="B6" i="3"/>
  <c r="A6" i="3" s="1"/>
  <c r="F11" i="2" l="1"/>
  <c r="G11" i="2"/>
  <c r="E11" i="2"/>
  <c r="C22" i="4"/>
  <c r="D11" i="2"/>
  <c r="E10" i="2"/>
  <c r="F10" i="2"/>
  <c r="G10" i="2"/>
  <c r="D9" i="2"/>
  <c r="C20" i="4"/>
  <c r="G9" i="2"/>
  <c r="E9" i="2"/>
  <c r="F9" i="2"/>
  <c r="C17" i="2"/>
  <c r="B20" i="4"/>
  <c r="B17" i="2"/>
  <c r="C21" i="4"/>
  <c r="D10" i="2"/>
  <c r="E17" i="2" l="1"/>
  <c r="D17" i="2"/>
  <c r="F17" i="2"/>
  <c r="G17" i="2"/>
</calcChain>
</file>

<file path=xl/sharedStrings.xml><?xml version="1.0" encoding="utf-8"?>
<sst xmlns="http://schemas.openxmlformats.org/spreadsheetml/2006/main" count="146" uniqueCount="90">
  <si>
    <t>ΕΛΑΙΟΥΡΓΕΙΟ - ΛΙΣΤΑ ΚΑΤΑΧΩΡΙΣΗΣ ΡΑΝΤΕΒΟΥ</t>
  </si>
  <si>
    <t>Α/Α Ραντεβού</t>
  </si>
  <si>
    <t>Ημερομηνία</t>
  </si>
  <si>
    <t>Ώρα</t>
  </si>
  <si>
    <t>Ονοματεπώνυμο Παραγωγού</t>
  </si>
  <si>
    <t>Τηλέφωνο</t>
  </si>
  <si>
    <t>Ποσότητα Ελιάς (kg)</t>
  </si>
  <si>
    <t>Απαιτούμενα Μηχανήματα</t>
  </si>
  <si>
    <t>Κατάσταση</t>
  </si>
  <si>
    <t>Σημειώσεις</t>
  </si>
  <si>
    <t>08:00</t>
  </si>
  <si>
    <t>Mike Oxlong</t>
  </si>
  <si>
    <t>xxxxxxx</t>
  </si>
  <si>
    <t>10:00</t>
  </si>
  <si>
    <t>12:00</t>
  </si>
  <si>
    <t>14:00</t>
  </si>
  <si>
    <t>ΗΜΕΡΗΣΙΟ ΠΡΟΓΡΑΜΜΑ ΕΚΘΛΙΨΗΣ &amp; ΧΩΡΗΤΙΚΟΤΗΤΑΣ</t>
  </si>
  <si>
    <t>ΕΠΙΛΕΓΜΕΝΗ ΗΜΕΡΟΜΗΝΙΑ:</t>
  </si>
  <si>
    <t>💡 Σημείωση: Αλλάξτε την ημερομηνία για να δείτε τη διαθεσιμότητα της ημέρας.</t>
  </si>
  <si>
    <t>Χρονικό Διάστημα</t>
  </si>
  <si>
    <t>Σύνολο Ραντεβού</t>
  </si>
  <si>
    <t>Σύνολο Ελιών (kg)</t>
  </si>
  <si>
    <t>Διαθέσιμη Χωρητικότητα (kg)</t>
  </si>
  <si>
    <t>Μηχανήματα σε Χρήση</t>
  </si>
  <si>
    <t>Χρήση Χωρητικότητας (%)</t>
  </si>
  <si>
    <t>Κατάσταση Slot</t>
  </si>
  <si>
    <t>00:00 - 02:00</t>
  </si>
  <si>
    <t>02:00 - 04:00</t>
  </si>
  <si>
    <t>04:00 - 06:00</t>
  </si>
  <si>
    <t>06:00 - 08:00</t>
  </si>
  <si>
    <t>08:00 - 10:00</t>
  </si>
  <si>
    <t>10:00 - 12:00</t>
  </si>
  <si>
    <t>12:00 - 14:00</t>
  </si>
  <si>
    <t>14:00 - 16:00</t>
  </si>
  <si>
    <t>16:00 - 18:00</t>
  </si>
  <si>
    <t>18:00 - 20:00</t>
  </si>
  <si>
    <t>20:00 - 22:00</t>
  </si>
  <si>
    <t>22:00 - 00:00</t>
  </si>
  <si>
    <t>ΗΜΕΡΗΣΙΟ ΣΥΝΟΛΟ:</t>
  </si>
  <si>
    <t>ΗΜΕΡΗΣΙΑ ΛΙΣΤΑ ΠΕΛΑΤΩΝ</t>
  </si>
  <si>
    <t>💡 Η ημερομηνία ακολουθεί το «ΗΜΕΡΗΣΙΟ ΠΡΟΓΡΑΜΜΑ». Μπορείτε να γράψετε κι εδώ άλλη ημερομηνία.</t>
  </si>
  <si>
    <t>Α/Α</t>
  </si>
  <si>
    <t>Σύνολο Πελατών Ημέρας:</t>
  </si>
  <si>
    <t>Σύνολο Ελιάς Ημέρας (kg):</t>
  </si>
  <si>
    <t>ΕΛΑΙΟΥΡΓΕΙΟ - ΠΙΝΑΚΑΣ ΕΛΕΓΧΟΥ (DASHBOARD)</t>
  </si>
  <si>
    <t>ΗΜΕΡΟΜΗΝΙΑ:</t>
  </si>
  <si>
    <t>ΣΗΜΕΡΙΝΆ ΡΑΝΤΕΒΟΎ</t>
  </si>
  <si>
    <t>ΣΥΝΟΛΙΚΉ ΠΟΣΌΤΗΤΑ</t>
  </si>
  <si>
    <t>ΜΈΓΙΣΤΗ ΗΜΕΡΉΣΙΑ ΧΩΡΗΤΙΚΌΤΗΤΑ</t>
  </si>
  <si>
    <t>ΣΕ ΑΝΑΜΟΝΉ</t>
  </si>
  <si>
    <t>ΣΕ ΕΠΕΞΕΡΓΑΣΊΑ / ΈΦΤΑΣΕ</t>
  </si>
  <si>
    <t>ΟΛΟΚΛΗΡΩΜΈΝΑ</t>
  </si>
  <si>
    <t>ΑΚΥΡΩΜΈΝΑ ΡΑΝΤΕΒΟΎ</t>
  </si>
  <si>
    <t>ΚΑΤΆΣΤΑΣΗ ΧΩΡΗΤΙΚΌΤΗΤΑΣ</t>
  </si>
  <si>
    <t>ΠΟΣΟΣΤΌ ΧΡΉΣΗΣ</t>
  </si>
  <si>
    <t>ΚΑΤΑΝΟΜΗ ΠΟΣΟΤΗΤΑΣ ΑΝΑ ΩΡΑ</t>
  </si>
  <si>
    <t>Αριθμός Ραντεβού</t>
  </si>
  <si>
    <t>Ποσότητα (kg)</t>
  </si>
  <si>
    <t>00:00</t>
  </si>
  <si>
    <t>02:00</t>
  </si>
  <si>
    <t>04:00</t>
  </si>
  <si>
    <t>06:00</t>
  </si>
  <si>
    <t>16:00</t>
  </si>
  <si>
    <t>18:00</t>
  </si>
  <si>
    <t>20:00</t>
  </si>
  <si>
    <t>22:00</t>
  </si>
  <si>
    <t>ΣΤΟΙΧΕΙΑ ΕΡΓΟΣΤΑΣΙΟΥ &amp; ΡΥΘΜΙΣΕΙΣ ΣΥΣΤΗΜΑΤΟΣ</t>
  </si>
  <si>
    <t>Παράμετρος</t>
  </si>
  <si>
    <t>Τιμή</t>
  </si>
  <si>
    <t>Μονάδα / Περιγραφή</t>
  </si>
  <si>
    <t>Αριθμός Μηχανημάτων</t>
  </si>
  <si>
    <t>Τεμάχια</t>
  </si>
  <si>
    <t>Χωρητικότητα Μηχανήματος</t>
  </si>
  <si>
    <t>Kg / Κύκλο</t>
  </si>
  <si>
    <t>Διάρκεια Έκθλιψης</t>
  </si>
  <si>
    <t>Ώρες</t>
  </si>
  <si>
    <t>Ημερήσιος Χρόνος Λειτουργίας</t>
  </si>
  <si>
    <t>Μέγιστη Χωρητικότητα ανά Slot</t>
  </si>
  <si>
    <t>Kg (7 × 600 kg = 4.200 kg)</t>
  </si>
  <si>
    <t>Ημερήσιος Αριθμός Slots (ανά Μηχανή)</t>
  </si>
  <si>
    <t>Επεξεργασίες (24 ώρες / 2 ώρες)</t>
  </si>
  <si>
    <t>Συνολική Θεωρητική Ημερήσια Χωρητικότητα</t>
  </si>
  <si>
    <t>Kg Ελιών (50.400 kg)</t>
  </si>
  <si>
    <t>ΩΡΕΣ</t>
  </si>
  <si>
    <t>ΚΑΤΑΣΤΑΣΗ</t>
  </si>
  <si>
    <t>Σε αναμονή</t>
  </si>
  <si>
    <t>Έφτασε</t>
  </si>
  <si>
    <t>Σε επεξεργασία</t>
  </si>
  <si>
    <t>Ολοκληρώθηκε</t>
  </si>
  <si>
    <t>Ακυρώθηκε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</si>
</sst>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.mm\.yyyy"/>
    <numFmt numFmtId="165" formatCode="0.0%"/>
    <numFmt numFmtId="166" formatCode="#,##0&quot; kg&quot;"/>
  </numFmts>
  <fonts count="12" x14ac:knownFonts="1">
    <font>
      <sz val="11"/>
      <color theme="1"/>
      <name val="Calibri"/>
      <family val="2"/>
      <charset val="1"/>
    </font>
    <font>
      <b/>
      <sz val="16"/>
      <color rgb="FFFFFFFF"/>
      <name val="Arial"/>
      <charset val="1"/>
    </font>
    <font>
      <b/>
      <sz val="11"/>
      <color rgb="FFFFFFFF"/>
      <name val="Arial"/>
      <charset val="1"/>
    </font>
    <font>
      <b/>
      <sz val="10"/>
      <name val="Arial"/>
      <charset val="1"/>
    </font>
    <font>
      <b/>
      <sz val="11"/>
      <color rgb="FF000080"/>
      <name val="Arial"/>
      <charset val="1"/>
    </font>
    <font>
      <i/>
      <sz val="9"/>
      <color rgb="FF555555"/>
      <name val="Arial"/>
      <charset val="1"/>
    </font>
    <font>
      <b/>
      <sz val="11"/>
      <color rgb="FFFFFFFF"/>
      <name val="Calibri"/>
      <charset val="1"/>
    </font>
    <font>
      <sz val="10"/>
      <name val="Arial"/>
      <charset val="1"/>
    </font>
    <font>
      <b/>
      <sz val="11"/>
      <name val="Arial"/>
      <charset val="1"/>
    </font>
    <font>
      <b/>
      <sz val="11"/>
      <color rgb="FF2E5A27"/>
      <name val="Arial"/>
      <charset val="1"/>
    </font>
    <font>
      <b/>
      <sz val="9"/>
      <color rgb="FFFFFFFF"/>
      <name val="Arial"/>
      <charset val="1"/>
    </font>
    <font>
      <b/>
      <sz val="14"/>
      <color rgb="FF000000"/>
      <name val="Arial"/>
      <charset val="1"/>
    </font>
  </fonts>
  <fills count="18">
    <fill>
      <patternFill patternType="none"/>
    </fill>
    <fill>
      <patternFill patternType="gray125"/>
    </fill>
    <fill>
      <patternFill patternType="solid">
        <fgColor rgb="FF2E5A27"/>
        <bgColor rgb="FF1B5E20"/>
      </patternFill>
    </fill>
    <fill>
      <patternFill patternType="solid">
        <fgColor rgb="FF4A7C59"/>
        <bgColor rgb="FF2E7D32"/>
      </patternFill>
    </fill>
    <fill>
      <patternFill patternType="solid">
        <fgColor rgb="FFF5F5F5"/>
        <bgColor rgb="FFE8F5E9"/>
      </patternFill>
    </fill>
    <fill>
      <patternFill patternType="solid">
        <fgColor rgb="FF424242"/>
        <bgColor rgb="FF555555"/>
      </patternFill>
    </fill>
    <fill>
      <patternFill patternType="solid">
        <fgColor rgb="FFE8F5E9"/>
        <bgColor rgb="FFE0F2F1"/>
      </patternFill>
    </fill>
    <fill>
      <patternFill patternType="solid">
        <fgColor rgb="FFF57F17"/>
        <bgColor rgb="FFFF9900"/>
      </patternFill>
    </fill>
    <fill>
      <patternFill patternType="solid">
        <fgColor rgb="FF0D47A1"/>
        <bgColor rgb="FF0066CC"/>
      </patternFill>
    </fill>
    <fill>
      <patternFill patternType="solid">
        <fgColor rgb="FF1B5E20"/>
        <bgColor rgb="FF2E5A27"/>
      </patternFill>
    </fill>
    <fill>
      <patternFill patternType="solid">
        <fgColor rgb="FFFFF9C4"/>
        <bgColor rgb="FFF5F5F5"/>
      </patternFill>
    </fill>
    <fill>
      <patternFill patternType="solid">
        <fgColor rgb="FFBBDEFB"/>
        <bgColor rgb="FFC8E6C9"/>
      </patternFill>
    </fill>
    <fill>
      <patternFill patternType="solid">
        <fgColor rgb="FFC8E6C9"/>
        <bgColor rgb="FFD9D9D9"/>
      </patternFill>
    </fill>
    <fill>
      <patternFill patternType="solid">
        <fgColor rgb="FFB71C1C"/>
        <bgColor rgb="FF993366"/>
      </patternFill>
    </fill>
    <fill>
      <patternFill patternType="solid">
        <fgColor rgb="FF2E7D32"/>
        <bgColor rgb="FF4A7C59"/>
      </patternFill>
    </fill>
    <fill>
      <patternFill patternType="solid">
        <fgColor rgb="FF004D40"/>
        <bgColor rgb="FF1B5E20"/>
      </patternFill>
    </fill>
    <fill>
      <patternFill patternType="solid">
        <fgColor rgb="FFFFCDD2"/>
        <bgColor rgb="FFE1BEE7"/>
      </patternFill>
    </fill>
    <fill>
      <patternFill patternType="solid">
        <fgColor rgb="FFE0F2F1"/>
        <bgColor rgb="FFE8F5E9"/>
      </patternFill>
    </fill>
  </fills>
  <borders count="2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10" fillId="13" borderId="1" xfId="0" applyFont="1" applyFill="1" applyBorder="1" applyAlignment="1">
      <alignment horizontal="center" vertical="center"/>
    </xf>
    <xf numFmtId="3" fontId="11" fillId="12" borderId="1" xfId="0" applyNumberFormat="1" applyFont="1" applyFill="1" applyBorder="1" applyAlignment="1">
      <alignment horizontal="center" vertical="center"/>
    </xf>
    <xf numFmtId="3" fontId="11" fillId="11" borderId="1" xfId="0" applyNumberFormat="1" applyFont="1" applyFill="1" applyBorder="1" applyAlignment="1">
      <alignment horizontal="center" vertical="center"/>
    </xf>
    <xf numFmtId="3" fontId="11" fillId="10" borderId="1" xfId="0" applyNumberFormat="1" applyFont="1" applyFill="1" applyBorder="1" applyAlignment="1">
      <alignment horizontal="center" vertical="center"/>
    </xf>
    <xf numFmtId="0" fontId="10" fillId="9" borderId="1" xfId="0" applyFont="1" applyFill="1" applyBorder="1" applyAlignment="1">
      <alignment horizontal="center" vertical="center"/>
    </xf>
    <xf numFmtId="0" fontId="10" fillId="8" borderId="1" xfId="0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3" fontId="11" fillId="4" borderId="1" xfId="0" applyNumberFormat="1" applyFont="1" applyFill="1" applyBorder="1" applyAlignment="1">
      <alignment horizontal="center" vertical="center"/>
    </xf>
    <xf numFmtId="3" fontId="11" fillId="6" borderId="1" xfId="0" applyNumberFormat="1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8" fillId="0" borderId="0" xfId="0" applyFont="1"/>
    <xf numFmtId="0" fontId="1" fillId="2" borderId="0" xfId="0" applyFont="1" applyFill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64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/>
      <protection locked="0"/>
    </xf>
    <xf numFmtId="3" fontId="0" fillId="0" borderId="1" xfId="0" applyNumberFormat="1" applyBorder="1" applyAlignment="1" applyProtection="1">
      <alignment horizontal="right" vertical="center"/>
      <protection locked="0"/>
    </xf>
    <xf numFmtId="0" fontId="3" fillId="0" borderId="0" xfId="0" applyFont="1" applyAlignment="1">
      <alignment horizontal="right" vertical="center"/>
    </xf>
    <xf numFmtId="164" fontId="4" fillId="4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/>
    <xf numFmtId="0" fontId="3" fillId="4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3" fontId="0" fillId="0" borderId="1" xfId="0" applyNumberFormat="1" applyBorder="1" applyAlignment="1">
      <alignment horizontal="right" vertical="center"/>
    </xf>
    <xf numFmtId="165" fontId="0" fillId="0" borderId="1" xfId="0" applyNumberFormat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3" fontId="3" fillId="0" borderId="1" xfId="0" applyNumberFormat="1" applyFont="1" applyBorder="1" applyAlignment="1">
      <alignment horizontal="right" vertical="center"/>
    </xf>
    <xf numFmtId="165" fontId="3" fillId="0" borderId="1" xfId="0" applyNumberFormat="1" applyFont="1" applyBorder="1" applyAlignment="1">
      <alignment horizontal="center" vertical="center"/>
    </xf>
    <xf numFmtId="164" fontId="4" fillId="4" borderId="0" xfId="0" applyNumberFormat="1" applyFont="1" applyFill="1" applyAlignment="1" applyProtection="1">
      <alignment horizontal="center" vertical="center"/>
      <protection locked="0"/>
    </xf>
    <xf numFmtId="0" fontId="2" fillId="3" borderId="0" xfId="0" applyFont="1" applyFill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left" vertical="center"/>
    </xf>
    <xf numFmtId="3" fontId="7" fillId="0" borderId="1" xfId="0" applyNumberFormat="1" applyFont="1" applyBorder="1" applyAlignment="1">
      <alignment horizontal="right" vertical="center"/>
    </xf>
    <xf numFmtId="3" fontId="7" fillId="0" borderId="1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9" fillId="0" borderId="0" xfId="0" applyFont="1" applyAlignment="1">
      <alignment horizontal="center"/>
    </xf>
    <xf numFmtId="166" fontId="9" fillId="0" borderId="0" xfId="0" applyNumberFormat="1" applyFont="1" applyAlignment="1">
      <alignment horizontal="center"/>
    </xf>
    <xf numFmtId="164" fontId="4" fillId="4" borderId="1" xfId="0" applyNumberFormat="1" applyFont="1" applyFill="1" applyBorder="1" applyAlignment="1">
      <alignment horizontal="center" vertical="center"/>
    </xf>
    <xf numFmtId="0" fontId="2" fillId="5" borderId="0" xfId="0" applyFont="1" applyFill="1"/>
    <xf numFmtId="0" fontId="3" fillId="0" borderId="1" xfId="0" applyFont="1" applyBorder="1" applyAlignment="1">
      <alignment horizontal="left" vertical="center"/>
    </xf>
    <xf numFmtId="3" fontId="3" fillId="0" borderId="1" xfId="0" applyNumberFormat="1" applyFont="1" applyBorder="1" applyAlignment="1" applyProtection="1">
      <alignment horizontal="center" vertical="center"/>
      <protection locked="0"/>
    </xf>
    <xf numFmtId="0" fontId="5" fillId="0" borderId="1" xfId="0" applyFont="1" applyBorder="1" applyAlignment="1">
      <alignment horizontal="left" vertical="center"/>
    </xf>
    <xf numFmtId="3" fontId="3" fillId="0" borderId="1" xfId="0" applyNumberFormat="1" applyFont="1" applyBorder="1" applyAlignment="1">
      <alignment horizontal="center" vertical="center"/>
    </xf>
    <xf numFmtId="0" fontId="6" fillId="5" borderId="0" xfId="0" applyFont="1" applyFill="1"/>
    <xf numFmtId="0" fontId="10" fillId="14" borderId="1" xfId="0" applyFont="1" applyFill="1" applyBorder="1" applyAlignment="1">
      <alignment horizontal="center" vertical="center"/>
    </xf>
    <xf numFmtId="0" fontId="10" fillId="15" borderId="1" xfId="0" applyFont="1" applyFill="1" applyBorder="1" applyAlignment="1">
      <alignment horizontal="center" vertical="center"/>
    </xf>
    <xf numFmtId="3" fontId="11" fillId="16" borderId="1" xfId="0" applyNumberFormat="1" applyFont="1" applyFill="1" applyBorder="1" applyAlignment="1">
      <alignment horizontal="center" vertical="center"/>
    </xf>
    <xf numFmtId="165" fontId="11" fillId="17" borderId="1" xfId="0" applyNumberFormat="1" applyFont="1" applyFill="1" applyBorder="1" applyAlignment="1">
      <alignment horizontal="center" vertical="center"/>
    </xf>
    <xf numFmtId="0" fontId="6" fillId="3" borderId="0" xfId="0" applyFont="1" applyFill="1"/>
  </cellXfs>
  <cellStyles count="1">
    <cellStyle name="Κανονικό" xfId="0" builtinId="0"/>
  </cellStyles>
  <dxfs count="14">
    <dxf>
      <font>
        <b/>
        <color rgb="FFB71C1C"/>
      </font>
      <fill>
        <patternFill>
          <bgColor rgb="FFFFCDD2"/>
        </patternFill>
      </fill>
    </dxf>
    <dxf>
      <font>
        <b/>
        <color rgb="FFB71C1C"/>
      </font>
      <fill>
        <patternFill>
          <bgColor rgb="FFFFCDD2"/>
        </patternFill>
      </fill>
    </dxf>
    <dxf>
      <font>
        <b/>
        <color rgb="FF1B5E20"/>
      </font>
      <fill>
        <patternFill>
          <bgColor rgb="FFC8E6C9"/>
        </patternFill>
      </fill>
    </dxf>
    <dxf>
      <font>
        <b/>
        <color rgb="FF0D47A1"/>
      </font>
      <fill>
        <patternFill>
          <bgColor rgb="FFBBDEFB"/>
        </patternFill>
      </fill>
    </dxf>
    <dxf>
      <font>
        <b/>
        <color rgb="FF4A148C"/>
      </font>
      <fill>
        <patternFill>
          <bgColor rgb="FFE1BEE7"/>
        </patternFill>
      </fill>
    </dxf>
    <dxf>
      <font>
        <b/>
        <color rgb="FF8D6E63"/>
      </font>
      <fill>
        <patternFill>
          <bgColor rgb="FFFFF9C4"/>
        </patternFill>
      </fill>
    </dxf>
    <dxf>
      <font>
        <b/>
        <color rgb="FF1B5E20"/>
      </font>
      <fill>
        <patternFill>
          <bgColor rgb="FFC8E6C9"/>
        </patternFill>
      </fill>
    </dxf>
    <dxf>
      <font>
        <b/>
        <color rgb="FFB71C1C"/>
      </font>
      <fill>
        <patternFill>
          <bgColor rgb="FFFFCDD2"/>
        </patternFill>
      </fill>
    </dxf>
    <dxf>
      <font>
        <b/>
        <color rgb="FFB71C1C"/>
      </font>
      <fill>
        <patternFill>
          <bgColor rgb="FFFFCDD2"/>
        </patternFill>
      </fill>
    </dxf>
    <dxf>
      <font>
        <b/>
        <color rgb="FFB71C1C"/>
      </font>
      <fill>
        <patternFill>
          <bgColor rgb="FFFFCDD2"/>
        </patternFill>
      </fill>
    </dxf>
    <dxf>
      <font>
        <b/>
        <color rgb="FF1B5E20"/>
      </font>
      <fill>
        <patternFill>
          <bgColor rgb="FFC8E6C9"/>
        </patternFill>
      </fill>
    </dxf>
    <dxf>
      <font>
        <b/>
        <color rgb="FF0D47A1"/>
      </font>
      <fill>
        <patternFill>
          <bgColor rgb="FFBBDEFB"/>
        </patternFill>
      </fill>
    </dxf>
    <dxf>
      <font>
        <b/>
        <color rgb="FF4A148C"/>
      </font>
      <fill>
        <patternFill>
          <bgColor rgb="FFE1BEE7"/>
        </patternFill>
      </fill>
    </dxf>
    <dxf>
      <font>
        <b/>
        <color rgb="FF8D6E63"/>
      </font>
      <fill>
        <patternFill>
          <bgColor rgb="FFFFF9C4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2E7D32"/>
      <rgbColor rgb="FF000080"/>
      <rgbColor rgb="FF808000"/>
      <rgbColor rgb="FF800080"/>
      <rgbColor rgb="FF008080"/>
      <rgbColor rgb="FFCCCCCC"/>
      <rgbColor rgb="FF878787"/>
      <rgbColor rgb="FF9999FF"/>
      <rgbColor rgb="FF555555"/>
      <rgbColor rgb="FFFFF9C4"/>
      <rgbColor rgb="FFE0F2F1"/>
      <rgbColor rgb="FF4A148C"/>
      <rgbColor rgb="FFFF8080"/>
      <rgbColor rgb="FF0066CC"/>
      <rgbColor rgb="FFBBDEFB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8F5E9"/>
      <rgbColor rgb="FFC8E6C9"/>
      <rgbColor rgb="FFF5F5F5"/>
      <rgbColor rgb="FFD9D9D9"/>
      <rgbColor rgb="FFFF99CC"/>
      <rgbColor rgb="FFE1BEE7"/>
      <rgbColor rgb="FFFFCDD2"/>
      <rgbColor rgb="FF3366FF"/>
      <rgbColor rgb="FF33CCCC"/>
      <rgbColor rgb="FF99CC00"/>
      <rgbColor rgb="FFFFCC00"/>
      <rgbColor rgb="FFFF9900"/>
      <rgbColor rgb="FFF57F17"/>
      <rgbColor rgb="FF4F81BD"/>
      <rgbColor rgb="FF8D6E63"/>
      <rgbColor rgb="FF004D40"/>
      <rgbColor rgb="FF4A7C59"/>
      <rgbColor rgb="FF1B5E20"/>
      <rgbColor rgb="FF2E5A27"/>
      <rgbColor rgb="FFB71C1C"/>
      <rgbColor rgb="FF993366"/>
      <rgbColor rgb="FF0D47A1"/>
      <rgbColor rgb="FF424242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l-GR"/>
  <c:roundedCorners val="0"/>
  <c:style val="2"/>
  <c:chart>
    <c:title>
      <c:tx>
        <c:rich>
          <a:bodyPr rot="0"/>
          <a:lstStyle/>
          <a:p>
            <a:pPr>
              <a:defRPr lang="el-GR"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el-GR" sz="1800" b="1" strike="noStrike" spc="-1">
                <a:solidFill>
                  <a:srgbClr val="000000"/>
                </a:solidFill>
                <a:latin typeface="Calibri"/>
              </a:rPr>
              <a:t>Ποσότητα Ελιάς ανά Ώρα (kg)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ΣΥΝΟΨΗ!$C$15</c:f>
              <c:strCache>
                <c:ptCount val="1"/>
                <c:pt idx="0">
                  <c:v>Ποσότητα (kg)</c:v>
                </c:pt>
              </c:strCache>
            </c:strRef>
          </c:tx>
          <c:spPr>
            <a:solidFill>
              <a:srgbClr val="4F81BD"/>
            </a:solidFill>
            <a:ln w="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tr-TR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ΣΥΝΟΨΗ!$A$16:$A$27</c:f>
              <c:strCache>
                <c:ptCount val="12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</c:strCache>
            </c:strRef>
          </c:cat>
          <c:val>
            <c:numRef>
              <c:f>ΣΥΝΟΨΗ!$C$16:$C$27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3000</c:v>
                </c:pt>
                <c:pt idx="5">
                  <c:v>0</c:v>
                </c:pt>
                <c:pt idx="6">
                  <c:v>1000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79-4171-B5D7-56A6E15CDB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04355"/>
        <c:axId val="34657484"/>
      </c:barChart>
      <c:catAx>
        <c:axId val="3904355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lang="el-GR"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el-GR" sz="1000" b="1" strike="noStrike" spc="-1">
                    <a:solidFill>
                      <a:srgbClr val="000000"/>
                    </a:solidFill>
                    <a:latin typeface="Calibri"/>
                  </a:rPr>
                  <a:t>Ώρα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lang="en-US" sz="1000" b="0" strike="noStrike" spc="-1">
                <a:solidFill>
                  <a:srgbClr val="000000"/>
                </a:solidFill>
                <a:latin typeface="Calibri"/>
              </a:defRPr>
            </a:pPr>
            <a:endParaRPr lang="tr-TR"/>
          </a:p>
        </c:txPr>
        <c:crossAx val="34657484"/>
        <c:crosses val="autoZero"/>
        <c:auto val="1"/>
        <c:lblAlgn val="ctr"/>
        <c:lblOffset val="100"/>
        <c:noMultiLvlLbl val="0"/>
      </c:catAx>
      <c:valAx>
        <c:axId val="34657484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lang="tr-TR"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tr-TR" sz="1000" b="1" strike="noStrike" spc="-1">
                    <a:solidFill>
                      <a:srgbClr val="000000"/>
                    </a:solidFill>
                    <a:latin typeface="Calibri"/>
                  </a:rPr>
                  <a:t>Kg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#,##0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lang="en-US" sz="1000" b="0" strike="noStrike" spc="-1">
                <a:solidFill>
                  <a:srgbClr val="000000"/>
                </a:solidFill>
                <a:latin typeface="Calibri"/>
              </a:defRPr>
            </a:pPr>
            <a:endParaRPr lang="tr-TR"/>
          </a:p>
        </c:txPr>
        <c:crossAx val="3904355"/>
        <c:crosses val="autoZero"/>
        <c:crossBetween val="between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lang="en-US" sz="1000" b="0" strike="noStrike" spc="-1">
              <a:solidFill>
                <a:srgbClr val="000000"/>
              </a:solidFill>
              <a:latin typeface="Calibri"/>
            </a:defRPr>
          </a:pPr>
          <a:endParaRPr lang="tr-TR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533399</xdr:colOff>
      <xdr:row>1</xdr:row>
      <xdr:rowOff>133350</xdr:rowOff>
    </xdr:from>
    <xdr:to>
      <xdr:col>3</xdr:col>
      <xdr:colOff>1209674</xdr:colOff>
      <xdr:row>1</xdr:row>
      <xdr:rowOff>561975</xdr:rowOff>
    </xdr:to>
    <xdr:sp macro="[0]!SonrakiGun" textlink="">
      <xdr:nvSpPr>
        <xdr:cNvPr id="3" name="Βέλος: Δεξιό 2">
          <a:extLst>
            <a:ext uri="{FF2B5EF4-FFF2-40B4-BE49-F238E27FC236}">
              <a16:creationId xmlns:a16="http://schemas.microsoft.com/office/drawing/2014/main" id="{3D5422B1-8D24-CDF3-F7AC-62FC157A97E4}"/>
            </a:ext>
          </a:extLst>
        </xdr:cNvPr>
        <xdr:cNvSpPr/>
      </xdr:nvSpPr>
      <xdr:spPr>
        <a:xfrm>
          <a:off x="4400549" y="390525"/>
          <a:ext cx="676275" cy="428625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2</xdr:col>
      <xdr:colOff>419099</xdr:colOff>
      <xdr:row>1</xdr:row>
      <xdr:rowOff>142875</xdr:rowOff>
    </xdr:from>
    <xdr:to>
      <xdr:col>2</xdr:col>
      <xdr:colOff>1095374</xdr:colOff>
      <xdr:row>1</xdr:row>
      <xdr:rowOff>571500</xdr:rowOff>
    </xdr:to>
    <xdr:sp macro="[0]!OncekiGun" textlink="">
      <xdr:nvSpPr>
        <xdr:cNvPr id="4" name="Βέλος: Δεξιό 3">
          <a:extLst>
            <a:ext uri="{FF2B5EF4-FFF2-40B4-BE49-F238E27FC236}">
              <a16:creationId xmlns:a16="http://schemas.microsoft.com/office/drawing/2014/main" id="{5AAB8640-5438-48EE-9E71-7FDD07887787}"/>
            </a:ext>
          </a:extLst>
        </xdr:cNvPr>
        <xdr:cNvSpPr/>
      </xdr:nvSpPr>
      <xdr:spPr>
        <a:xfrm flipH="1">
          <a:off x="2952749" y="400050"/>
          <a:ext cx="676275" cy="428625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13</xdr:row>
      <xdr:rowOff>0</xdr:rowOff>
    </xdr:from>
    <xdr:to>
      <xdr:col>14</xdr:col>
      <xdr:colOff>361080</xdr:colOff>
      <xdr:row>35</xdr:row>
      <xdr:rowOff>124920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_____1"/>
  <dimension ref="A1:J102"/>
  <sheetViews>
    <sheetView tabSelected="1" zoomScaleNormal="100" workbookViewId="0">
      <selection activeCell="F13" sqref="F13"/>
    </sheetView>
  </sheetViews>
  <sheetFormatPr defaultColWidth="8.7109375" defaultRowHeight="15" x14ac:dyDescent="0.25"/>
  <cols>
    <col min="1" max="2" width="14" customWidth="1"/>
    <col min="3" max="3" width="12" customWidth="1"/>
    <col min="4" max="4" width="31.85546875" customWidth="1"/>
    <col min="5" max="5" width="16" customWidth="1"/>
    <col min="6" max="6" width="28.28515625" customWidth="1"/>
    <col min="7" max="7" width="30" customWidth="1"/>
    <col min="8" max="8" width="42.7109375" customWidth="1"/>
    <col min="9" max="9" width="25" customWidth="1"/>
  </cols>
  <sheetData>
    <row r="1" spans="1:10" ht="34.5" customHeight="1" x14ac:dyDescent="0.25">
      <c r="A1" s="13" t="s">
        <v>0</v>
      </c>
      <c r="B1" s="13"/>
      <c r="C1" s="13"/>
      <c r="D1" s="13"/>
      <c r="E1" s="13"/>
      <c r="F1" s="13"/>
      <c r="G1" s="13"/>
      <c r="H1" s="13"/>
      <c r="I1" s="13"/>
      <c r="J1" s="13"/>
    </row>
    <row r="2" spans="1:10" ht="24.75" customHeight="1" x14ac:dyDescent="0.25">
      <c r="A2" s="14" t="s">
        <v>1</v>
      </c>
      <c r="B2" s="14" t="s">
        <v>2</v>
      </c>
      <c r="C2" s="14" t="s">
        <v>3</v>
      </c>
      <c r="D2" s="14" t="s">
        <v>4</v>
      </c>
      <c r="E2" s="14" t="s">
        <v>5</v>
      </c>
      <c r="F2" s="14" t="s">
        <v>6</v>
      </c>
      <c r="G2" s="14" t="s">
        <v>7</v>
      </c>
      <c r="H2" s="14" t="s">
        <v>8</v>
      </c>
      <c r="I2" s="14" t="s">
        <v>9</v>
      </c>
      <c r="J2" s="14"/>
    </row>
    <row r="3" spans="1:10" ht="19.5" customHeight="1" x14ac:dyDescent="0.25">
      <c r="A3" s="15">
        <v>1</v>
      </c>
      <c r="B3" s="16">
        <v>46310</v>
      </c>
      <c r="C3" s="17" t="s">
        <v>10</v>
      </c>
      <c r="D3" s="18" t="s">
        <v>11</v>
      </c>
      <c r="E3" s="17" t="s">
        <v>12</v>
      </c>
      <c r="F3" s="19">
        <v>600</v>
      </c>
      <c r="G3" s="15">
        <f>IF(ISNUMBER(F3), INT((F3+ΡΥΘΜΙΣΕΙΣ!$B$5-1)/ΡΥΘΜΙΣΕΙΣ!$B$5), "")</f>
        <v>1</v>
      </c>
      <c r="H3" s="15" t="str">
        <f>IF(AND(ISNUMBER(F3), B3&lt;&gt;"", C3&lt;&gt;""), IF(SUMIFS($F$3:$F$102,$B$3:$B$102,B3,$C$3:$C$102,C3)&gt;ΡΥΘΜΙΣΕΙΣ!$B$8,"ΠΡΟΣΟΧΗ: ΥΠΕΡΒΑΣΗ ΧΩΡΗΤΙΚΟΤΗΤΑΣ","Σε αναμονή"), "")</f>
        <v>Σε αναμονή</v>
      </c>
      <c r="I3" s="18"/>
      <c r="J3" s="18"/>
    </row>
    <row r="4" spans="1:10" ht="19.5" customHeight="1" x14ac:dyDescent="0.25">
      <c r="A4" s="15">
        <v>2</v>
      </c>
      <c r="B4" s="16">
        <v>46310</v>
      </c>
      <c r="C4" s="17" t="s">
        <v>10</v>
      </c>
      <c r="D4" s="18" t="s">
        <v>11</v>
      </c>
      <c r="E4" s="17" t="s">
        <v>12</v>
      </c>
      <c r="F4" s="19">
        <v>1200</v>
      </c>
      <c r="G4" s="15">
        <f>IF(ISNUMBER(F4), INT((F4+ΡΥΘΜΙΣΕΙΣ!$B$5-1)/ΡΥΘΜΙΣΕΙΣ!$B$5), "")</f>
        <v>2</v>
      </c>
      <c r="H4" s="15" t="str">
        <f>IF(AND(ISNUMBER(F4), B4&lt;&gt;"", C4&lt;&gt;""), IF(SUMIFS($F$3:$F$102,$B$3:$B$102,B4,$C$3:$C$102,C4)&gt;ΡΥΘΜΙΣΕΙΣ!$B$8,"ΠΡΟΣΟΧΗ: ΥΠΕΡΒΑΣΗ ΧΩΡΗΤΙΚΟΤΗΤΑΣ","Σε αναμονή"), "")</f>
        <v>Σε αναμονή</v>
      </c>
      <c r="I4" s="18"/>
      <c r="J4" s="18"/>
    </row>
    <row r="5" spans="1:10" ht="19.5" customHeight="1" x14ac:dyDescent="0.25">
      <c r="A5" s="15">
        <v>3</v>
      </c>
      <c r="B5" s="16">
        <v>46310</v>
      </c>
      <c r="C5" s="17" t="s">
        <v>13</v>
      </c>
      <c r="D5" s="18" t="s">
        <v>11</v>
      </c>
      <c r="E5" s="17" t="s">
        <v>12</v>
      </c>
      <c r="F5" s="19">
        <v>1800</v>
      </c>
      <c r="G5" s="15">
        <f>IF(ISNUMBER(F5), INT((F5+ΡΥΘΜΙΣΕΙΣ!$B$5-1)/ΡΥΘΜΙΣΕΙΣ!$B$5), "")</f>
        <v>3</v>
      </c>
      <c r="H5" s="15" t="str">
        <f>IF(AND(ISNUMBER(F5), B5&lt;&gt;"", C5&lt;&gt;""), IF(SUMIFS($F$3:$F$102,$B$3:$B$102,B5,$C$3:$C$102,C5)&gt;ΡΥΘΜΙΣΕΙΣ!$B$8,"ΠΡΟΣΟΧΗ: ΥΠΕΡΒΑΣΗ ΧΩΡΗΤΙΚΟΤΗΤΑΣ","Σε αναμονή"), "")</f>
        <v>ΠΡΟΣΟΧΗ: ΥΠΕΡΒΑΣΗ ΧΩΡΗΤΙΚΟΤΗΤΑΣ</v>
      </c>
      <c r="I5" s="18"/>
      <c r="J5" s="18"/>
    </row>
    <row r="6" spans="1:10" ht="19.5" customHeight="1" x14ac:dyDescent="0.25">
      <c r="A6" s="15">
        <v>4</v>
      </c>
      <c r="B6" s="16">
        <v>46310</v>
      </c>
      <c r="C6" s="17" t="s">
        <v>13</v>
      </c>
      <c r="D6" s="18" t="s">
        <v>11</v>
      </c>
      <c r="E6" s="17" t="s">
        <v>12</v>
      </c>
      <c r="F6" s="19">
        <v>2000</v>
      </c>
      <c r="G6" s="15">
        <f>IF(ISNUMBER(F6), INT((F6+ΡΥΘΜΙΣΕΙΣ!$B$5-1)/ΡΥΘΜΙΣΕΙΣ!$B$5), "")</f>
        <v>4</v>
      </c>
      <c r="H6" s="15" t="str">
        <f>IF(AND(ISNUMBER(F6), B6&lt;&gt;"", C6&lt;&gt;""), IF(SUMIFS($F$3:$F$102,$B$3:$B$102,B6,$C$3:$C$102,C6)&gt;ΡΥΘΜΙΣΕΙΣ!$B$8,"ΠΡΟΣΟΧΗ: ΥΠΕΡΒΑΣΗ ΧΩΡΗΤΙΚΟΤΗΤΑΣ","Σε αναμονή"), "")</f>
        <v>ΠΡΟΣΟΧΗ: ΥΠΕΡΒΑΣΗ ΧΩΡΗΤΙΚΟΤΗΤΑΣ</v>
      </c>
      <c r="I6" s="18"/>
      <c r="J6" s="18"/>
    </row>
    <row r="7" spans="1:10" ht="19.5" customHeight="1" x14ac:dyDescent="0.25">
      <c r="A7" s="15">
        <v>5</v>
      </c>
      <c r="B7" s="16">
        <v>46310</v>
      </c>
      <c r="C7" s="17" t="s">
        <v>13</v>
      </c>
      <c r="D7" s="18" t="s">
        <v>11</v>
      </c>
      <c r="E7" s="17" t="s">
        <v>12</v>
      </c>
      <c r="F7" s="19">
        <v>1500</v>
      </c>
      <c r="G7" s="15">
        <f>IF(ISNUMBER(F7), INT((F7+ΡΥΘΜΙΣΕΙΣ!$B$5-1)/ΡΥΘΜΙΣΕΙΣ!$B$5), "")</f>
        <v>3</v>
      </c>
      <c r="H7" s="15" t="str">
        <f>IF(AND(ISNUMBER(F7), B7&lt;&gt;"", C7&lt;&gt;""), IF(SUMIFS($F$3:$F$102,$B$3:$B$102,B7,$C$3:$C$102,C7)&gt;ΡΥΘΜΙΣΕΙΣ!$B$8,"ΠΡΟΣΟΧΗ: ΥΠΕΡΒΑΣΗ ΧΩΡΗΤΙΚΟΤΗΤΑΣ","Σε αναμονή"), "")</f>
        <v>ΠΡΟΣΟΧΗ: ΥΠΕΡΒΑΣΗ ΧΩΡΗΤΙΚΟΤΗΤΑΣ</v>
      </c>
      <c r="I7" s="18"/>
      <c r="J7" s="18"/>
    </row>
    <row r="8" spans="1:10" ht="19.5" customHeight="1" x14ac:dyDescent="0.25">
      <c r="A8" s="15">
        <v>6</v>
      </c>
      <c r="B8" s="16">
        <v>46310</v>
      </c>
      <c r="C8" s="17" t="s">
        <v>14</v>
      </c>
      <c r="D8" s="18" t="s">
        <v>11</v>
      </c>
      <c r="E8" s="17" t="s">
        <v>12</v>
      </c>
      <c r="F8" s="19">
        <v>600</v>
      </c>
      <c r="G8" s="15">
        <f>IF(ISNUMBER(F8), INT((F8+ΡΥΘΜΙΣΕΙΣ!$B$5-1)/ΡΥΘΜΙΣΕΙΣ!$B$5), "")</f>
        <v>1</v>
      </c>
      <c r="H8" s="15" t="str">
        <f>IF(AND(ISNUMBER(F8), B8&lt;&gt;"", C8&lt;&gt;""), IF(SUMIFS($F$3:$F$102,$B$3:$B$102,B8,$C$3:$C$102,C8)&gt;ΡΥΘΜΙΣΕΙΣ!$B$8,"ΠΡΟΣΟΧΗ: ΥΠΕΡΒΑΣΗ ΧΩΡΗΤΙΚΟΤΗΤΑΣ","Σε αναμονή"), "")</f>
        <v>Σε αναμονή</v>
      </c>
      <c r="I8" s="18"/>
      <c r="J8" s="18"/>
    </row>
    <row r="9" spans="1:10" ht="19.5" customHeight="1" x14ac:dyDescent="0.25">
      <c r="A9" s="15">
        <v>7</v>
      </c>
      <c r="B9" s="16">
        <v>46310</v>
      </c>
      <c r="C9" s="17" t="s">
        <v>15</v>
      </c>
      <c r="D9" s="18" t="s">
        <v>11</v>
      </c>
      <c r="E9" s="17" t="s">
        <v>12</v>
      </c>
      <c r="F9" s="19">
        <v>4000</v>
      </c>
      <c r="G9" s="15">
        <f>IF(ISNUMBER(F9), INT((F9+ΡΥΘΜΙΣΕΙΣ!$B$5-1)/ΡΥΘΜΙΣΕΙΣ!$B$5), "")</f>
        <v>7</v>
      </c>
      <c r="H9" s="15" t="str">
        <f>IF(AND(ISNUMBER(F9), B9&lt;&gt;"", C9&lt;&gt;""), IF(SUMIFS($F$3:$F$102,$B$3:$B$102,B9,$C$3:$C$102,C9)&gt;ΡΥΘΜΙΣΕΙΣ!$B$8,"ΠΡΟΣΟΧΗ: ΥΠΕΡΒΑΣΗ ΧΩΡΗΤΙΚΟΤΗΤΑΣ","Σε αναμονή"), "")</f>
        <v>Σε αναμονή</v>
      </c>
      <c r="I9" s="18"/>
      <c r="J9" s="18"/>
    </row>
    <row r="10" spans="1:10" ht="19.5" customHeight="1" x14ac:dyDescent="0.25">
      <c r="A10" s="15">
        <v>8</v>
      </c>
      <c r="B10" s="16">
        <v>46310</v>
      </c>
      <c r="C10" s="17" t="s">
        <v>15</v>
      </c>
      <c r="D10" s="18" t="s">
        <v>11</v>
      </c>
      <c r="E10" s="17" t="s">
        <v>12</v>
      </c>
      <c r="F10" s="19">
        <v>150</v>
      </c>
      <c r="G10" s="15">
        <f>IF(ISNUMBER(F10), INT((F10+ΡΥΘΜΙΣΕΙΣ!$B$5-1)/ΡΥΘΜΙΣΕΙΣ!$B$5), "")</f>
        <v>1</v>
      </c>
      <c r="H10" s="15" t="str">
        <f>IF(AND(ISNUMBER(F10), B10&lt;&gt;"", C10&lt;&gt;""), IF(SUMIFS($F$3:$F$102,$B$3:$B$102,B10,$C$3:$C$102,C10)&gt;ΡΥΘΜΙΣΕΙΣ!$B$8,"ΠΡΟΣΟΧΗ: ΥΠΕΡΒΑΣΗ ΧΩΡΗΤΙΚΟΤΗΤΑΣ","Σε αναμονή"), "")</f>
        <v>Σε αναμονή</v>
      </c>
      <c r="I10" s="18"/>
      <c r="J10" s="18"/>
    </row>
    <row r="11" spans="1:10" ht="19.5" customHeight="1" x14ac:dyDescent="0.25">
      <c r="A11" s="15">
        <v>9</v>
      </c>
      <c r="B11" s="16">
        <v>46311</v>
      </c>
      <c r="C11" s="17" t="s">
        <v>10</v>
      </c>
      <c r="D11" s="18" t="s">
        <v>11</v>
      </c>
      <c r="E11" s="17" t="s">
        <v>12</v>
      </c>
      <c r="F11" s="19">
        <v>2200</v>
      </c>
      <c r="G11" s="15">
        <f>IF(ISNUMBER(F11), INT((F11+ΡΥΘΜΙΣΕΙΣ!$B$5-1)/ΡΥΘΜΙΣΕΙΣ!$B$5), "")</f>
        <v>4</v>
      </c>
      <c r="H11" s="15" t="str">
        <f>IF(AND(ISNUMBER(F11), B11&lt;&gt;"", C11&lt;&gt;""), IF(SUMIFS($F$3:$F$102,$B$3:$B$102,B11,$C$3:$C$102,C11)&gt;ΡΥΘΜΙΣΕΙΣ!$B$8,"ΠΡΟΣΟΧΗ: ΥΠΕΡΒΑΣΗ ΧΩΡΗΤΙΚΟΤΗΤΑΣ","Σε αναμονή"), "")</f>
        <v>Σε αναμονή</v>
      </c>
      <c r="I11" s="18"/>
      <c r="J11" s="18"/>
    </row>
    <row r="12" spans="1:10" ht="19.5" customHeight="1" x14ac:dyDescent="0.25">
      <c r="A12" s="15">
        <v>10</v>
      </c>
      <c r="B12" s="16">
        <v>46311</v>
      </c>
      <c r="C12" s="17" t="s">
        <v>10</v>
      </c>
      <c r="D12" s="18" t="s">
        <v>11</v>
      </c>
      <c r="E12" s="17">
        <v>123123</v>
      </c>
      <c r="F12" s="19">
        <v>800</v>
      </c>
      <c r="G12" s="15">
        <f>IF(ISNUMBER(F12), INT((F12+ΡΥΘΜΙΣΕΙΣ!$B$5-1)/ΡΥΘΜΙΣΕΙΣ!$B$5), "")</f>
        <v>2</v>
      </c>
      <c r="H12" s="15" t="str">
        <f>IF(AND(ISNUMBER(F12), B12&lt;&gt;"", C12&lt;&gt;""), IF(SUMIFS($F$3:$F$102,$B$3:$B$102,B12,$C$3:$C$102,C12)&gt;ΡΥΘΜΙΣΕΙΣ!$B$8,"ΠΡΟΣΟΧΗ: ΥΠΕΡΒΑΣΗ ΧΩΡΗΤΙΚΟΤΗΤΑΣ","Σε αναμονή"), "")</f>
        <v>Σε αναμονή</v>
      </c>
      <c r="I12" s="18"/>
      <c r="J12" s="18"/>
    </row>
    <row r="13" spans="1:10" ht="19.5" customHeight="1" x14ac:dyDescent="0.25">
      <c r="A13" s="15">
        <v>11</v>
      </c>
      <c r="B13" s="16">
        <v>46311</v>
      </c>
      <c r="C13" s="17" t="s">
        <v>14</v>
      </c>
      <c r="D13" s="18" t="s">
        <v>11</v>
      </c>
      <c r="E13" s="17" t="s">
        <v>12</v>
      </c>
      <c r="F13" s="19">
        <v>1000</v>
      </c>
      <c r="G13" s="15">
        <f>IF(ISNUMBER(F13), INT((F13+ΡΥΘΜΙΣΕΙΣ!$B$5-1)/ΡΥΘΜΙΣΕΙΣ!$B$5), "")</f>
        <v>2</v>
      </c>
      <c r="H13" s="15" t="str">
        <f>IF(AND(ISNUMBER(F13), B13&lt;&gt;"", C13&lt;&gt;""), IF(SUMIFS($F$3:$F$102,$B$3:$B$102,B13,$C$3:$C$102,C13)&gt;ΡΥΘΜΙΣΕΙΣ!$B$8,"ΠΡΟΣΟΧΗ: ΥΠΕΡΒΑΣΗ ΧΩΡΗΤΙΚΟΤΗΤΑΣ","Σε αναμονή"), "")</f>
        <v>Σε αναμονή</v>
      </c>
      <c r="I13" s="18"/>
      <c r="J13" s="18"/>
    </row>
    <row r="14" spans="1:10" ht="19.5" customHeight="1" x14ac:dyDescent="0.25">
      <c r="A14" s="15">
        <v>12</v>
      </c>
      <c r="B14" s="16">
        <v>46312</v>
      </c>
      <c r="C14" s="17" t="s">
        <v>13</v>
      </c>
      <c r="D14" s="18" t="s">
        <v>11</v>
      </c>
      <c r="E14" s="17" t="s">
        <v>12</v>
      </c>
      <c r="F14" s="19">
        <v>1450</v>
      </c>
      <c r="G14" s="15">
        <f>IF(ISNUMBER(F14), INT((F14+ΡΥΘΜΙΣΕΙΣ!$B$5-1)/ΡΥΘΜΙΣΕΙΣ!$B$5), "")</f>
        <v>3</v>
      </c>
      <c r="H14" s="15" t="str">
        <f>IF(AND(ISNUMBER(F14), B14&lt;&gt;"", C14&lt;&gt;""), IF(SUMIFS($F$3:$F$102,$B$3:$B$102,B14,$C$3:$C$102,C14)&gt;ΡΥΘΜΙΣΕΙΣ!$B$8,"ΠΡΟΣΟΧΗ: ΥΠΕΡΒΑΣΗ ΧΩΡΗΤΙΚΟΤΗΤΑΣ","Σε αναμονή"), "")</f>
        <v>Σε αναμονή</v>
      </c>
      <c r="I14" s="18"/>
      <c r="J14" s="18"/>
    </row>
    <row r="15" spans="1:10" ht="19.5" customHeight="1" x14ac:dyDescent="0.25">
      <c r="A15" s="15">
        <v>13</v>
      </c>
      <c r="B15" s="16">
        <v>46312</v>
      </c>
      <c r="C15" s="17" t="s">
        <v>14</v>
      </c>
      <c r="D15" s="18" t="s">
        <v>11</v>
      </c>
      <c r="E15" s="17" t="s">
        <v>12</v>
      </c>
      <c r="F15" s="19">
        <v>4000</v>
      </c>
      <c r="G15" s="15">
        <f>IF(ISNUMBER(F15), INT((F15+ΡΥΘΜΙΣΕΙΣ!$B$5-1)/ΡΥΘΜΙΣΕΙΣ!$B$5), "")</f>
        <v>7</v>
      </c>
      <c r="H15" s="15" t="str">
        <f>IF(AND(ISNUMBER(F15), B15&lt;&gt;"", C15&lt;&gt;""), IF(SUMIFS($F$3:$F$102,$B$3:$B$102,B15,$C$3:$C$102,C15)&gt;ΡΥΘΜΙΣΕΙΣ!$B$8,"ΠΡΟΣΟΧΗ: ΥΠΕΡΒΑΣΗ ΧΩΡΗΤΙΚΟΤΗΤΑΣ","Σε αναμονή"), "")</f>
        <v>Σε αναμονή</v>
      </c>
      <c r="I15" s="18"/>
      <c r="J15" s="18"/>
    </row>
    <row r="16" spans="1:10" ht="19.5" customHeight="1" x14ac:dyDescent="0.25">
      <c r="A16" s="15">
        <v>14</v>
      </c>
      <c r="B16" s="16"/>
      <c r="C16" s="17"/>
      <c r="D16" s="18"/>
      <c r="E16" s="17"/>
      <c r="F16" s="19"/>
      <c r="G16" s="15" t="str">
        <f>IF(ISNUMBER(F16), INT((F16+ΡΥΘΜΙΣΕΙΣ!$B$5-1)/ΡΥΘΜΙΣΕΙΣ!$B$5), "")</f>
        <v/>
      </c>
      <c r="H16" s="15" t="str">
        <f>IF(AND(ISNUMBER(F16), B16&lt;&gt;"", C16&lt;&gt;""), IF(SUMIFS($F$3:$F$102,$B$3:$B$102,B16,$C$3:$C$102,C16)&gt;ΡΥΘΜΙΣΕΙΣ!$B$8,"ΠΡΟΣΟΧΗ: ΥΠΕΡΒΑΣΗ ΧΩΡΗΤΙΚΟΤΗΤΑΣ","Σε αναμονή"), "")</f>
        <v/>
      </c>
      <c r="I16" s="18"/>
      <c r="J16" s="18"/>
    </row>
    <row r="17" spans="1:10" ht="19.5" customHeight="1" x14ac:dyDescent="0.25">
      <c r="A17" s="15">
        <v>15</v>
      </c>
      <c r="B17" s="16"/>
      <c r="C17" s="17"/>
      <c r="D17" s="18"/>
      <c r="E17" s="17"/>
      <c r="F17" s="19"/>
      <c r="G17" s="15" t="str">
        <f>IF(ISNUMBER(F17), INT((F17+ΡΥΘΜΙΣΕΙΣ!$B$5-1)/ΡΥΘΜΙΣΕΙΣ!$B$5), "")</f>
        <v/>
      </c>
      <c r="H17" s="15" t="str">
        <f>IF(AND(ISNUMBER(F17), B17&lt;&gt;"", C17&lt;&gt;""), IF(SUMIFS($F$3:$F$102,$B$3:$B$102,B17,$C$3:$C$102,C17)&gt;ΡΥΘΜΙΣΕΙΣ!$B$8,"ΠΡΟΣΟΧΗ: ΥΠΕΡΒΑΣΗ ΧΩΡΗΤΙΚΟΤΗΤΑΣ","Σε αναμονή"), "")</f>
        <v/>
      </c>
      <c r="I17" s="18"/>
      <c r="J17" s="18"/>
    </row>
    <row r="18" spans="1:10" ht="19.5" customHeight="1" x14ac:dyDescent="0.25">
      <c r="A18" s="15">
        <v>16</v>
      </c>
      <c r="B18" s="16"/>
      <c r="C18" s="17"/>
      <c r="D18" s="18"/>
      <c r="E18" s="17"/>
      <c r="F18" s="19"/>
      <c r="G18" s="15" t="str">
        <f>IF(ISNUMBER(F18), INT((F18+ΡΥΘΜΙΣΕΙΣ!$B$5-1)/ΡΥΘΜΙΣΕΙΣ!$B$5), "")</f>
        <v/>
      </c>
      <c r="H18" s="15" t="str">
        <f>IF(AND(ISNUMBER(F18), B18&lt;&gt;"", C18&lt;&gt;""), IF(SUMIFS($F$3:$F$102,$B$3:$B$102,B18,$C$3:$C$102,C18)&gt;ΡΥΘΜΙΣΕΙΣ!$B$8,"ΠΡΟΣΟΧΗ: ΥΠΕΡΒΑΣΗ ΧΩΡΗΤΙΚΟΤΗΤΑΣ","Σε αναμονή"), "")</f>
        <v/>
      </c>
      <c r="I18" s="18"/>
      <c r="J18" s="18"/>
    </row>
    <row r="19" spans="1:10" ht="19.5" customHeight="1" x14ac:dyDescent="0.25">
      <c r="A19" s="15">
        <v>17</v>
      </c>
      <c r="B19" s="16"/>
      <c r="C19" s="17"/>
      <c r="D19" s="18"/>
      <c r="E19" s="17"/>
      <c r="F19" s="19"/>
      <c r="G19" s="15" t="str">
        <f>IF(ISNUMBER(F19), INT((F19+ΡΥΘΜΙΣΕΙΣ!$B$5-1)/ΡΥΘΜΙΣΕΙΣ!$B$5), "")</f>
        <v/>
      </c>
      <c r="H19" s="15" t="str">
        <f>IF(AND(ISNUMBER(F19), B19&lt;&gt;"", C19&lt;&gt;""), IF(SUMIFS($F$3:$F$102,$B$3:$B$102,B19,$C$3:$C$102,C19)&gt;ΡΥΘΜΙΣΕΙΣ!$B$8,"ΠΡΟΣΟΧΗ: ΥΠΕΡΒΑΣΗ ΧΩΡΗΤΙΚΟΤΗΤΑΣ","Σε αναμονή"), "")</f>
        <v/>
      </c>
      <c r="I19" s="18"/>
      <c r="J19" s="18"/>
    </row>
    <row r="20" spans="1:10" ht="19.5" customHeight="1" x14ac:dyDescent="0.25">
      <c r="A20" s="15">
        <v>18</v>
      </c>
      <c r="B20" s="16"/>
      <c r="C20" s="17"/>
      <c r="D20" s="18"/>
      <c r="E20" s="17"/>
      <c r="F20" s="19"/>
      <c r="G20" s="15" t="str">
        <f>IF(ISNUMBER(F20), INT((F20+ΡΥΘΜΙΣΕΙΣ!$B$5-1)/ΡΥΘΜΙΣΕΙΣ!$B$5), "")</f>
        <v/>
      </c>
      <c r="H20" s="15" t="str">
        <f>IF(AND(ISNUMBER(F20), B20&lt;&gt;"", C20&lt;&gt;""), IF(SUMIFS($F$3:$F$102,$B$3:$B$102,B20,$C$3:$C$102,C20)&gt;ΡΥΘΜΙΣΕΙΣ!$B$8,"ΠΡΟΣΟΧΗ: ΥΠΕΡΒΑΣΗ ΧΩΡΗΤΙΚΟΤΗΤΑΣ","Σε αναμονή"), "")</f>
        <v/>
      </c>
      <c r="I20" s="18"/>
      <c r="J20" s="18"/>
    </row>
    <row r="21" spans="1:10" ht="19.5" customHeight="1" x14ac:dyDescent="0.25">
      <c r="A21" s="15">
        <v>19</v>
      </c>
      <c r="B21" s="16"/>
      <c r="C21" s="17"/>
      <c r="D21" s="18"/>
      <c r="E21" s="17"/>
      <c r="F21" s="19"/>
      <c r="G21" s="15" t="str">
        <f>IF(ISNUMBER(F21), INT((F21+ΡΥΘΜΙΣΕΙΣ!$B$5-1)/ΡΥΘΜΙΣΕΙΣ!$B$5), "")</f>
        <v/>
      </c>
      <c r="H21" s="15" t="str">
        <f>IF(AND(ISNUMBER(F21), B21&lt;&gt;"", C21&lt;&gt;""), IF(SUMIFS($F$3:$F$102,$B$3:$B$102,B21,$C$3:$C$102,C21)&gt;ΡΥΘΜΙΣΕΙΣ!$B$8,"ΠΡΟΣΟΧΗ: ΥΠΕΡΒΑΣΗ ΧΩΡΗΤΙΚΟΤΗΤΑΣ","Σε αναμονή"), "")</f>
        <v/>
      </c>
      <c r="I21" s="18"/>
      <c r="J21" s="18"/>
    </row>
    <row r="22" spans="1:10" ht="19.5" customHeight="1" x14ac:dyDescent="0.25">
      <c r="A22" s="15">
        <v>20</v>
      </c>
      <c r="B22" s="16"/>
      <c r="C22" s="17"/>
      <c r="D22" s="18"/>
      <c r="E22" s="17"/>
      <c r="F22" s="19"/>
      <c r="G22" s="15" t="str">
        <f>IF(ISNUMBER(F22), INT((F22+ΡΥΘΜΙΣΕΙΣ!$B$5-1)/ΡΥΘΜΙΣΕΙΣ!$B$5), "")</f>
        <v/>
      </c>
      <c r="H22" s="15" t="str">
        <f>IF(AND(ISNUMBER(F22), B22&lt;&gt;"", C22&lt;&gt;""), IF(SUMIFS($F$3:$F$102,$B$3:$B$102,B22,$C$3:$C$102,C22)&gt;ΡΥΘΜΙΣΕΙΣ!$B$8,"ΠΡΟΣΟΧΗ: ΥΠΕΡΒΑΣΗ ΧΩΡΗΤΙΚΟΤΗΤΑΣ","Σε αναμονή"), "")</f>
        <v/>
      </c>
      <c r="I22" s="18"/>
      <c r="J22" s="18"/>
    </row>
    <row r="23" spans="1:10" ht="19.5" customHeight="1" x14ac:dyDescent="0.25">
      <c r="A23" s="15">
        <v>21</v>
      </c>
      <c r="B23" s="16"/>
      <c r="C23" s="17"/>
      <c r="D23" s="18"/>
      <c r="E23" s="17"/>
      <c r="F23" s="19"/>
      <c r="G23" s="15" t="str">
        <f>IF(ISNUMBER(F23), INT((F23+ΡΥΘΜΙΣΕΙΣ!$B$5-1)/ΡΥΘΜΙΣΕΙΣ!$B$5), "")</f>
        <v/>
      </c>
      <c r="H23" s="15" t="str">
        <f>IF(AND(ISNUMBER(F23), B23&lt;&gt;"", C23&lt;&gt;""), IF(SUMIFS($F$3:$F$102,$B$3:$B$102,B23,$C$3:$C$102,C23)&gt;ΡΥΘΜΙΣΕΙΣ!$B$8,"ΠΡΟΣΟΧΗ: ΥΠΕΡΒΑΣΗ ΧΩΡΗΤΙΚΟΤΗΤΑΣ","Σε αναμονή"), "")</f>
        <v/>
      </c>
      <c r="I23" s="18"/>
      <c r="J23" s="18"/>
    </row>
    <row r="24" spans="1:10" ht="19.5" customHeight="1" x14ac:dyDescent="0.25">
      <c r="A24" s="15">
        <v>22</v>
      </c>
      <c r="B24" s="16"/>
      <c r="C24" s="17"/>
      <c r="D24" s="18"/>
      <c r="E24" s="17"/>
      <c r="F24" s="19"/>
      <c r="G24" s="15" t="str">
        <f>IF(ISNUMBER(F24), INT((F24+ΡΥΘΜΙΣΕΙΣ!$B$5-1)/ΡΥΘΜΙΣΕΙΣ!$B$5), "")</f>
        <v/>
      </c>
      <c r="H24" s="15" t="str">
        <f>IF(AND(ISNUMBER(F24), B24&lt;&gt;"", C24&lt;&gt;""), IF(SUMIFS($F$3:$F$102,$B$3:$B$102,B24,$C$3:$C$102,C24)&gt;ΡΥΘΜΙΣΕΙΣ!$B$8,"ΠΡΟΣΟΧΗ: ΥΠΕΡΒΑΣΗ ΧΩΡΗΤΙΚΟΤΗΤΑΣ","Σε αναμονή"), "")</f>
        <v/>
      </c>
      <c r="I24" s="18"/>
      <c r="J24" s="18"/>
    </row>
    <row r="25" spans="1:10" ht="19.5" customHeight="1" x14ac:dyDescent="0.25">
      <c r="A25" s="15">
        <v>23</v>
      </c>
      <c r="B25" s="16"/>
      <c r="C25" s="17"/>
      <c r="D25" s="18"/>
      <c r="E25" s="17"/>
      <c r="F25" s="19"/>
      <c r="G25" s="15" t="str">
        <f>IF(ISNUMBER(F25), INT((F25+ΡΥΘΜΙΣΕΙΣ!$B$5-1)/ΡΥΘΜΙΣΕΙΣ!$B$5), "")</f>
        <v/>
      </c>
      <c r="H25" s="15" t="str">
        <f>IF(AND(ISNUMBER(F25), B25&lt;&gt;"", C25&lt;&gt;""), IF(SUMIFS($F$3:$F$102,$B$3:$B$102,B25,$C$3:$C$102,C25)&gt;ΡΥΘΜΙΣΕΙΣ!$B$8,"ΠΡΟΣΟΧΗ: ΥΠΕΡΒΑΣΗ ΧΩΡΗΤΙΚΟΤΗΤΑΣ","Σε αναμονή"), "")</f>
        <v/>
      </c>
      <c r="I25" s="18"/>
      <c r="J25" s="18"/>
    </row>
    <row r="26" spans="1:10" ht="19.5" customHeight="1" x14ac:dyDescent="0.25">
      <c r="A26" s="15">
        <v>24</v>
      </c>
      <c r="B26" s="16"/>
      <c r="C26" s="17"/>
      <c r="D26" s="18"/>
      <c r="E26" s="17"/>
      <c r="F26" s="19"/>
      <c r="G26" s="15" t="str">
        <f>IF(ISNUMBER(F26), INT((F26+ΡΥΘΜΙΣΕΙΣ!$B$5-1)/ΡΥΘΜΙΣΕΙΣ!$B$5), "")</f>
        <v/>
      </c>
      <c r="H26" s="15" t="str">
        <f>IF(AND(ISNUMBER(F26), B26&lt;&gt;"", C26&lt;&gt;""), IF(SUMIFS($F$3:$F$102,$B$3:$B$102,B26,$C$3:$C$102,C26)&gt;ΡΥΘΜΙΣΕΙΣ!$B$8,"ΠΡΟΣΟΧΗ: ΥΠΕΡΒΑΣΗ ΧΩΡΗΤΙΚΟΤΗΤΑΣ","Σε αναμονή"), "")</f>
        <v/>
      </c>
      <c r="I26" s="18"/>
      <c r="J26" s="18"/>
    </row>
    <row r="27" spans="1:10" ht="19.5" customHeight="1" x14ac:dyDescent="0.25">
      <c r="A27" s="15">
        <v>25</v>
      </c>
      <c r="B27" s="16"/>
      <c r="C27" s="17"/>
      <c r="D27" s="18"/>
      <c r="E27" s="17"/>
      <c r="F27" s="19"/>
      <c r="G27" s="15" t="str">
        <f>IF(ISNUMBER(F27), INT((F27+ΡΥΘΜΙΣΕΙΣ!$B$5-1)/ΡΥΘΜΙΣΕΙΣ!$B$5), "")</f>
        <v/>
      </c>
      <c r="H27" s="15" t="str">
        <f>IF(AND(ISNUMBER(F27), B27&lt;&gt;"", C27&lt;&gt;""), IF(SUMIFS($F$3:$F$102,$B$3:$B$102,B27,$C$3:$C$102,C27)&gt;ΡΥΘΜΙΣΕΙΣ!$B$8,"ΠΡΟΣΟΧΗ: ΥΠΕΡΒΑΣΗ ΧΩΡΗΤΙΚΟΤΗΤΑΣ","Σε αναμονή"), "")</f>
        <v/>
      </c>
      <c r="I27" s="18"/>
      <c r="J27" s="18"/>
    </row>
    <row r="28" spans="1:10" ht="19.5" customHeight="1" x14ac:dyDescent="0.25">
      <c r="A28" s="15">
        <v>26</v>
      </c>
      <c r="B28" s="16"/>
      <c r="C28" s="17"/>
      <c r="D28" s="18"/>
      <c r="E28" s="17"/>
      <c r="F28" s="19"/>
      <c r="G28" s="15" t="str">
        <f>IF(ISNUMBER(F28), INT((F28+ΡΥΘΜΙΣΕΙΣ!$B$5-1)/ΡΥΘΜΙΣΕΙΣ!$B$5), "")</f>
        <v/>
      </c>
      <c r="H28" s="15" t="str">
        <f>IF(AND(ISNUMBER(F28), B28&lt;&gt;"", C28&lt;&gt;""), IF(SUMIFS($F$3:$F$102,$B$3:$B$102,B28,$C$3:$C$102,C28)&gt;ΡΥΘΜΙΣΕΙΣ!$B$8,"ΠΡΟΣΟΧΗ: ΥΠΕΡΒΑΣΗ ΧΩΡΗΤΙΚΟΤΗΤΑΣ","Σε αναμονή"), "")</f>
        <v/>
      </c>
      <c r="I28" s="18"/>
      <c r="J28" s="18"/>
    </row>
    <row r="29" spans="1:10" ht="19.5" customHeight="1" x14ac:dyDescent="0.25">
      <c r="A29" s="15">
        <v>27</v>
      </c>
      <c r="B29" s="16"/>
      <c r="C29" s="17"/>
      <c r="D29" s="18"/>
      <c r="E29" s="17"/>
      <c r="F29" s="19"/>
      <c r="G29" s="15" t="str">
        <f>IF(ISNUMBER(F29), INT((F29+ΡΥΘΜΙΣΕΙΣ!$B$5-1)/ΡΥΘΜΙΣΕΙΣ!$B$5), "")</f>
        <v/>
      </c>
      <c r="H29" s="15" t="str">
        <f>IF(AND(ISNUMBER(F29), B29&lt;&gt;"", C29&lt;&gt;""), IF(SUMIFS($F$3:$F$102,$B$3:$B$102,B29,$C$3:$C$102,C29)&gt;ΡΥΘΜΙΣΕΙΣ!$B$8,"ΠΡΟΣΟΧΗ: ΥΠΕΡΒΑΣΗ ΧΩΡΗΤΙΚΟΤΗΤΑΣ","Σε αναμονή"), "")</f>
        <v/>
      </c>
      <c r="I29" s="18"/>
      <c r="J29" s="18"/>
    </row>
    <row r="30" spans="1:10" ht="19.5" customHeight="1" x14ac:dyDescent="0.25">
      <c r="A30" s="15">
        <v>28</v>
      </c>
      <c r="B30" s="16"/>
      <c r="C30" s="17"/>
      <c r="D30" s="18"/>
      <c r="E30" s="17"/>
      <c r="F30" s="19"/>
      <c r="G30" s="15" t="str">
        <f>IF(ISNUMBER(F30), INT((F30+ΡΥΘΜΙΣΕΙΣ!$B$5-1)/ΡΥΘΜΙΣΕΙΣ!$B$5), "")</f>
        <v/>
      </c>
      <c r="H30" s="15" t="str">
        <f>IF(AND(ISNUMBER(F30), B30&lt;&gt;"", C30&lt;&gt;""), IF(SUMIFS($F$3:$F$102,$B$3:$B$102,B30,$C$3:$C$102,C30)&gt;ΡΥΘΜΙΣΕΙΣ!$B$8,"ΠΡΟΣΟΧΗ: ΥΠΕΡΒΑΣΗ ΧΩΡΗΤΙΚΟΤΗΤΑΣ","Σε αναμονή"), "")</f>
        <v/>
      </c>
      <c r="I30" s="18"/>
      <c r="J30" s="18"/>
    </row>
    <row r="31" spans="1:10" ht="19.5" customHeight="1" x14ac:dyDescent="0.25">
      <c r="A31" s="15">
        <v>29</v>
      </c>
      <c r="B31" s="16"/>
      <c r="C31" s="17"/>
      <c r="D31" s="18"/>
      <c r="E31" s="17"/>
      <c r="F31" s="19"/>
      <c r="G31" s="15" t="str">
        <f>IF(ISNUMBER(F31), INT((F31+ΡΥΘΜΙΣΕΙΣ!$B$5-1)/ΡΥΘΜΙΣΕΙΣ!$B$5), "")</f>
        <v/>
      </c>
      <c r="H31" s="15" t="str">
        <f>IF(AND(ISNUMBER(F31), B31&lt;&gt;"", C31&lt;&gt;""), IF(SUMIFS($F$3:$F$102,$B$3:$B$102,B31,$C$3:$C$102,C31)&gt;ΡΥΘΜΙΣΕΙΣ!$B$8,"ΠΡΟΣΟΧΗ: ΥΠΕΡΒΑΣΗ ΧΩΡΗΤΙΚΟΤΗΤΑΣ","Σε αναμονή"), "")</f>
        <v/>
      </c>
      <c r="I31" s="18"/>
      <c r="J31" s="18"/>
    </row>
    <row r="32" spans="1:10" ht="19.5" customHeight="1" x14ac:dyDescent="0.25">
      <c r="A32" s="15">
        <v>30</v>
      </c>
      <c r="B32" s="16"/>
      <c r="C32" s="17"/>
      <c r="D32" s="18"/>
      <c r="E32" s="17"/>
      <c r="F32" s="19"/>
      <c r="G32" s="15" t="str">
        <f>IF(ISNUMBER(F32), INT((F32+ΡΥΘΜΙΣΕΙΣ!$B$5-1)/ΡΥΘΜΙΣΕΙΣ!$B$5), "")</f>
        <v/>
      </c>
      <c r="H32" s="15" t="str">
        <f>IF(AND(ISNUMBER(F32), B32&lt;&gt;"", C32&lt;&gt;""), IF(SUMIFS($F$3:$F$102,$B$3:$B$102,B32,$C$3:$C$102,C32)&gt;ΡΥΘΜΙΣΕΙΣ!$B$8,"ΠΡΟΣΟΧΗ: ΥΠΕΡΒΑΣΗ ΧΩΡΗΤΙΚΟΤΗΤΑΣ","Σε αναμονή"), "")</f>
        <v/>
      </c>
      <c r="I32" s="18"/>
      <c r="J32" s="18"/>
    </row>
    <row r="33" spans="1:10" ht="19.5" customHeight="1" x14ac:dyDescent="0.25">
      <c r="A33" s="15">
        <v>31</v>
      </c>
      <c r="B33" s="16"/>
      <c r="C33" s="17"/>
      <c r="D33" s="18"/>
      <c r="E33" s="17"/>
      <c r="F33" s="19"/>
      <c r="G33" s="15" t="str">
        <f>IF(ISNUMBER(F33), INT((F33+ΡΥΘΜΙΣΕΙΣ!$B$5-1)/ΡΥΘΜΙΣΕΙΣ!$B$5), "")</f>
        <v/>
      </c>
      <c r="H33" s="15" t="str">
        <f>IF(AND(ISNUMBER(F33), B33&lt;&gt;"", C33&lt;&gt;""), IF(SUMIFS($F$3:$F$102,$B$3:$B$102,B33,$C$3:$C$102,C33)&gt;ΡΥΘΜΙΣΕΙΣ!$B$8,"ΠΡΟΣΟΧΗ: ΥΠΕΡΒΑΣΗ ΧΩΡΗΤΙΚΟΤΗΤΑΣ","Σε αναμονή"), "")</f>
        <v/>
      </c>
      <c r="I33" s="18"/>
      <c r="J33" s="18"/>
    </row>
    <row r="34" spans="1:10" ht="19.5" customHeight="1" x14ac:dyDescent="0.25">
      <c r="A34" s="15">
        <v>32</v>
      </c>
      <c r="B34" s="16"/>
      <c r="C34" s="17"/>
      <c r="D34" s="18"/>
      <c r="E34" s="17"/>
      <c r="F34" s="19"/>
      <c r="G34" s="15" t="str">
        <f>IF(ISNUMBER(F34), INT((F34+ΡΥΘΜΙΣΕΙΣ!$B$5-1)/ΡΥΘΜΙΣΕΙΣ!$B$5), "")</f>
        <v/>
      </c>
      <c r="H34" s="15" t="str">
        <f>IF(AND(ISNUMBER(F34), B34&lt;&gt;"", C34&lt;&gt;""), IF(SUMIFS($F$3:$F$102,$B$3:$B$102,B34,$C$3:$C$102,C34)&gt;ΡΥΘΜΙΣΕΙΣ!$B$8,"ΠΡΟΣΟΧΗ: ΥΠΕΡΒΑΣΗ ΧΩΡΗΤΙΚΟΤΗΤΑΣ","Σε αναμονή"), "")</f>
        <v/>
      </c>
      <c r="I34" s="18"/>
      <c r="J34" s="18"/>
    </row>
    <row r="35" spans="1:10" ht="19.5" customHeight="1" x14ac:dyDescent="0.25">
      <c r="A35" s="15">
        <v>33</v>
      </c>
      <c r="B35" s="16"/>
      <c r="C35" s="17"/>
      <c r="D35" s="18"/>
      <c r="E35" s="17"/>
      <c r="F35" s="19"/>
      <c r="G35" s="15" t="str">
        <f>IF(ISNUMBER(F35), INT((F35+ΡΥΘΜΙΣΕΙΣ!$B$5-1)/ΡΥΘΜΙΣΕΙΣ!$B$5), "")</f>
        <v/>
      </c>
      <c r="H35" s="15" t="str">
        <f>IF(AND(ISNUMBER(F35), B35&lt;&gt;"", C35&lt;&gt;""), IF(SUMIFS($F$3:$F$102,$B$3:$B$102,B35,$C$3:$C$102,C35)&gt;ΡΥΘΜΙΣΕΙΣ!$B$8,"ΠΡΟΣΟΧΗ: ΥΠΕΡΒΑΣΗ ΧΩΡΗΤΙΚΟΤΗΤΑΣ","Σε αναμονή"), "")</f>
        <v/>
      </c>
      <c r="I35" s="18"/>
      <c r="J35" s="18"/>
    </row>
    <row r="36" spans="1:10" ht="19.5" customHeight="1" x14ac:dyDescent="0.25">
      <c r="A36" s="15">
        <v>34</v>
      </c>
      <c r="B36" s="16"/>
      <c r="C36" s="17"/>
      <c r="D36" s="18"/>
      <c r="E36" s="17"/>
      <c r="F36" s="19"/>
      <c r="G36" s="15" t="str">
        <f>IF(ISNUMBER(F36), INT((F36+ΡΥΘΜΙΣΕΙΣ!$B$5-1)/ΡΥΘΜΙΣΕΙΣ!$B$5), "")</f>
        <v/>
      </c>
      <c r="H36" s="15" t="str">
        <f>IF(AND(ISNUMBER(F36), B36&lt;&gt;"", C36&lt;&gt;""), IF(SUMIFS($F$3:$F$102,$B$3:$B$102,B36,$C$3:$C$102,C36)&gt;ΡΥΘΜΙΣΕΙΣ!$B$8,"ΠΡΟΣΟΧΗ: ΥΠΕΡΒΑΣΗ ΧΩΡΗΤΙΚΟΤΗΤΑΣ","Σε αναμονή"), "")</f>
        <v/>
      </c>
      <c r="I36" s="18"/>
      <c r="J36" s="18"/>
    </row>
    <row r="37" spans="1:10" ht="19.5" customHeight="1" x14ac:dyDescent="0.25">
      <c r="A37" s="15">
        <v>35</v>
      </c>
      <c r="B37" s="16"/>
      <c r="C37" s="17"/>
      <c r="D37" s="18"/>
      <c r="E37" s="17"/>
      <c r="F37" s="19"/>
      <c r="G37" s="15" t="str">
        <f>IF(ISNUMBER(F37), INT((F37+ΡΥΘΜΙΣΕΙΣ!$B$5-1)/ΡΥΘΜΙΣΕΙΣ!$B$5), "")</f>
        <v/>
      </c>
      <c r="H37" s="15" t="str">
        <f>IF(AND(ISNUMBER(F37), B37&lt;&gt;"", C37&lt;&gt;""), IF(SUMIFS($F$3:$F$102,$B$3:$B$102,B37,$C$3:$C$102,C37)&gt;ΡΥΘΜΙΣΕΙΣ!$B$8,"ΠΡΟΣΟΧΗ: ΥΠΕΡΒΑΣΗ ΧΩΡΗΤΙΚΟΤΗΤΑΣ","Σε αναμονή"), "")</f>
        <v/>
      </c>
      <c r="I37" s="18"/>
      <c r="J37" s="18"/>
    </row>
    <row r="38" spans="1:10" ht="19.5" customHeight="1" x14ac:dyDescent="0.25">
      <c r="A38" s="15">
        <v>36</v>
      </c>
      <c r="B38" s="16"/>
      <c r="C38" s="17"/>
      <c r="D38" s="18"/>
      <c r="E38" s="17"/>
      <c r="F38" s="19"/>
      <c r="G38" s="15" t="str">
        <f>IF(ISNUMBER(F38), INT((F38+ΡΥΘΜΙΣΕΙΣ!$B$5-1)/ΡΥΘΜΙΣΕΙΣ!$B$5), "")</f>
        <v/>
      </c>
      <c r="H38" s="15" t="str">
        <f>IF(AND(ISNUMBER(F38), B38&lt;&gt;"", C38&lt;&gt;""), IF(SUMIFS($F$3:$F$102,$B$3:$B$102,B38,$C$3:$C$102,C38)&gt;ΡΥΘΜΙΣΕΙΣ!$B$8,"ΠΡΟΣΟΧΗ: ΥΠΕΡΒΑΣΗ ΧΩΡΗΤΙΚΟΤΗΤΑΣ","Σε αναμονή"), "")</f>
        <v/>
      </c>
      <c r="I38" s="18"/>
      <c r="J38" s="18"/>
    </row>
    <row r="39" spans="1:10" ht="19.5" customHeight="1" x14ac:dyDescent="0.25">
      <c r="A39" s="15">
        <v>37</v>
      </c>
      <c r="B39" s="16"/>
      <c r="C39" s="17"/>
      <c r="D39" s="18"/>
      <c r="E39" s="17"/>
      <c r="F39" s="19"/>
      <c r="G39" s="15" t="str">
        <f>IF(ISNUMBER(F39), INT((F39+ΡΥΘΜΙΣΕΙΣ!$B$5-1)/ΡΥΘΜΙΣΕΙΣ!$B$5), "")</f>
        <v/>
      </c>
      <c r="H39" s="15" t="str">
        <f>IF(AND(ISNUMBER(F39), B39&lt;&gt;"", C39&lt;&gt;""), IF(SUMIFS($F$3:$F$102,$B$3:$B$102,B39,$C$3:$C$102,C39)&gt;ΡΥΘΜΙΣΕΙΣ!$B$8,"ΠΡΟΣΟΧΗ: ΥΠΕΡΒΑΣΗ ΧΩΡΗΤΙΚΟΤΗΤΑΣ","Σε αναμονή"), "")</f>
        <v/>
      </c>
      <c r="I39" s="18"/>
      <c r="J39" s="18"/>
    </row>
    <row r="40" spans="1:10" ht="19.5" customHeight="1" x14ac:dyDescent="0.25">
      <c r="A40" s="15">
        <v>38</v>
      </c>
      <c r="B40" s="16"/>
      <c r="C40" s="17"/>
      <c r="D40" s="18"/>
      <c r="E40" s="17"/>
      <c r="F40" s="19"/>
      <c r="G40" s="15" t="str">
        <f>IF(ISNUMBER(F40), INT((F40+ΡΥΘΜΙΣΕΙΣ!$B$5-1)/ΡΥΘΜΙΣΕΙΣ!$B$5), "")</f>
        <v/>
      </c>
      <c r="H40" s="15" t="str">
        <f>IF(AND(ISNUMBER(F40), B40&lt;&gt;"", C40&lt;&gt;""), IF(SUMIFS($F$3:$F$102,$B$3:$B$102,B40,$C$3:$C$102,C40)&gt;ΡΥΘΜΙΣΕΙΣ!$B$8,"ΠΡΟΣΟΧΗ: ΥΠΕΡΒΑΣΗ ΧΩΡΗΤΙΚΟΤΗΤΑΣ","Σε αναμονή"), "")</f>
        <v/>
      </c>
      <c r="I40" s="18"/>
      <c r="J40" s="18"/>
    </row>
    <row r="41" spans="1:10" ht="19.5" customHeight="1" x14ac:dyDescent="0.25">
      <c r="A41" s="15">
        <v>39</v>
      </c>
      <c r="B41" s="16"/>
      <c r="C41" s="17"/>
      <c r="D41" s="18"/>
      <c r="E41" s="17"/>
      <c r="F41" s="19"/>
      <c r="G41" s="15" t="str">
        <f>IF(ISNUMBER(F41), INT((F41+ΡΥΘΜΙΣΕΙΣ!$B$5-1)/ΡΥΘΜΙΣΕΙΣ!$B$5), "")</f>
        <v/>
      </c>
      <c r="H41" s="15" t="str">
        <f>IF(AND(ISNUMBER(F41), B41&lt;&gt;"", C41&lt;&gt;""), IF(SUMIFS($F$3:$F$102,$B$3:$B$102,B41,$C$3:$C$102,C41)&gt;ΡΥΘΜΙΣΕΙΣ!$B$8,"ΠΡΟΣΟΧΗ: ΥΠΕΡΒΑΣΗ ΧΩΡΗΤΙΚΟΤΗΤΑΣ","Σε αναμονή"), "")</f>
        <v/>
      </c>
      <c r="I41" s="18"/>
      <c r="J41" s="18"/>
    </row>
    <row r="42" spans="1:10" ht="19.5" customHeight="1" x14ac:dyDescent="0.25">
      <c r="A42" s="15">
        <v>40</v>
      </c>
      <c r="B42" s="16"/>
      <c r="C42" s="17"/>
      <c r="D42" s="18"/>
      <c r="E42" s="17"/>
      <c r="F42" s="19"/>
      <c r="G42" s="15" t="str">
        <f>IF(ISNUMBER(F42), INT((F42+ΡΥΘΜΙΣΕΙΣ!$B$5-1)/ΡΥΘΜΙΣΕΙΣ!$B$5), "")</f>
        <v/>
      </c>
      <c r="H42" s="15" t="str">
        <f>IF(AND(ISNUMBER(F42), B42&lt;&gt;"", C42&lt;&gt;""), IF(SUMIFS($F$3:$F$102,$B$3:$B$102,B42,$C$3:$C$102,C42)&gt;ΡΥΘΜΙΣΕΙΣ!$B$8,"ΠΡΟΣΟΧΗ: ΥΠΕΡΒΑΣΗ ΧΩΡΗΤΙΚΟΤΗΤΑΣ","Σε αναμονή"), "")</f>
        <v/>
      </c>
      <c r="I42" s="18"/>
      <c r="J42" s="18"/>
    </row>
    <row r="43" spans="1:10" ht="19.5" customHeight="1" x14ac:dyDescent="0.25">
      <c r="A43" s="15">
        <v>41</v>
      </c>
      <c r="B43" s="16"/>
      <c r="C43" s="17"/>
      <c r="D43" s="18"/>
      <c r="E43" s="17"/>
      <c r="F43" s="19"/>
      <c r="G43" s="15" t="str">
        <f>IF(ISNUMBER(F43), INT((F43+ΡΥΘΜΙΣΕΙΣ!$B$5-1)/ΡΥΘΜΙΣΕΙΣ!$B$5), "")</f>
        <v/>
      </c>
      <c r="H43" s="15" t="str">
        <f>IF(AND(ISNUMBER(F43), B43&lt;&gt;"", C43&lt;&gt;""), IF(SUMIFS($F$3:$F$102,$B$3:$B$102,B43,$C$3:$C$102,C43)&gt;ΡΥΘΜΙΣΕΙΣ!$B$8,"ΠΡΟΣΟΧΗ: ΥΠΕΡΒΑΣΗ ΧΩΡΗΤΙΚΟΤΗΤΑΣ","Σε αναμονή"), "")</f>
        <v/>
      </c>
      <c r="I43" s="18"/>
      <c r="J43" s="18"/>
    </row>
    <row r="44" spans="1:10" ht="19.5" customHeight="1" x14ac:dyDescent="0.25">
      <c r="A44" s="15">
        <v>42</v>
      </c>
      <c r="B44" s="16"/>
      <c r="C44" s="17"/>
      <c r="D44" s="18"/>
      <c r="E44" s="17"/>
      <c r="F44" s="19"/>
      <c r="G44" s="15" t="str">
        <f>IF(ISNUMBER(F44), INT((F44+ΡΥΘΜΙΣΕΙΣ!$B$5-1)/ΡΥΘΜΙΣΕΙΣ!$B$5), "")</f>
        <v/>
      </c>
      <c r="H44" s="15" t="str">
        <f>IF(AND(ISNUMBER(F44), B44&lt;&gt;"", C44&lt;&gt;""), IF(SUMIFS($F$3:$F$102,$B$3:$B$102,B44,$C$3:$C$102,C44)&gt;ΡΥΘΜΙΣΕΙΣ!$B$8,"ΠΡΟΣΟΧΗ: ΥΠΕΡΒΑΣΗ ΧΩΡΗΤΙΚΟΤΗΤΑΣ","Σε αναμονή"), "")</f>
        <v/>
      </c>
      <c r="I44" s="18"/>
      <c r="J44" s="18"/>
    </row>
    <row r="45" spans="1:10" ht="19.5" customHeight="1" x14ac:dyDescent="0.25">
      <c r="A45" s="15">
        <v>43</v>
      </c>
      <c r="B45" s="16"/>
      <c r="C45" s="17"/>
      <c r="D45" s="18"/>
      <c r="E45" s="17"/>
      <c r="F45" s="19"/>
      <c r="G45" s="15" t="str">
        <f>IF(ISNUMBER(F45), INT((F45+ΡΥΘΜΙΣΕΙΣ!$B$5-1)/ΡΥΘΜΙΣΕΙΣ!$B$5), "")</f>
        <v/>
      </c>
      <c r="H45" s="15" t="str">
        <f>IF(AND(ISNUMBER(F45), B45&lt;&gt;"", C45&lt;&gt;""), IF(SUMIFS($F$3:$F$102,$B$3:$B$102,B45,$C$3:$C$102,C45)&gt;ΡΥΘΜΙΣΕΙΣ!$B$8,"ΠΡΟΣΟΧΗ: ΥΠΕΡΒΑΣΗ ΧΩΡΗΤΙΚΟΤΗΤΑΣ","Σε αναμονή"), "")</f>
        <v/>
      </c>
      <c r="I45" s="18"/>
      <c r="J45" s="18"/>
    </row>
    <row r="46" spans="1:10" ht="19.5" customHeight="1" x14ac:dyDescent="0.25">
      <c r="A46" s="15">
        <v>44</v>
      </c>
      <c r="B46" s="16"/>
      <c r="C46" s="17"/>
      <c r="D46" s="18"/>
      <c r="E46" s="17"/>
      <c r="F46" s="19"/>
      <c r="G46" s="15" t="str">
        <f>IF(ISNUMBER(F46), INT((F46+ΡΥΘΜΙΣΕΙΣ!$B$5-1)/ΡΥΘΜΙΣΕΙΣ!$B$5), "")</f>
        <v/>
      </c>
      <c r="H46" s="15" t="str">
        <f>IF(AND(ISNUMBER(F46), B46&lt;&gt;"", C46&lt;&gt;""), IF(SUMIFS($F$3:$F$102,$B$3:$B$102,B46,$C$3:$C$102,C46)&gt;ΡΥΘΜΙΣΕΙΣ!$B$8,"ΠΡΟΣΟΧΗ: ΥΠΕΡΒΑΣΗ ΧΩΡΗΤΙΚΟΤΗΤΑΣ","Σε αναμονή"), "")</f>
        <v/>
      </c>
      <c r="I46" s="18"/>
      <c r="J46" s="18"/>
    </row>
    <row r="47" spans="1:10" ht="19.5" customHeight="1" x14ac:dyDescent="0.25">
      <c r="A47" s="15">
        <v>45</v>
      </c>
      <c r="B47" s="16"/>
      <c r="C47" s="17"/>
      <c r="D47" s="18"/>
      <c r="E47" s="17"/>
      <c r="F47" s="19"/>
      <c r="G47" s="15" t="str">
        <f>IF(ISNUMBER(F47), INT((F47+ΡΥΘΜΙΣΕΙΣ!$B$5-1)/ΡΥΘΜΙΣΕΙΣ!$B$5), "")</f>
        <v/>
      </c>
      <c r="H47" s="15" t="str">
        <f>IF(AND(ISNUMBER(F47), B47&lt;&gt;"", C47&lt;&gt;""), IF(SUMIFS($F$3:$F$102,$B$3:$B$102,B47,$C$3:$C$102,C47)&gt;ΡΥΘΜΙΣΕΙΣ!$B$8,"ΠΡΟΣΟΧΗ: ΥΠΕΡΒΑΣΗ ΧΩΡΗΤΙΚΟΤΗΤΑΣ","Σε αναμονή"), "")</f>
        <v/>
      </c>
      <c r="I47" s="18"/>
      <c r="J47" s="18"/>
    </row>
    <row r="48" spans="1:10" ht="19.5" customHeight="1" x14ac:dyDescent="0.25">
      <c r="A48" s="15">
        <v>46</v>
      </c>
      <c r="B48" s="16"/>
      <c r="C48" s="17"/>
      <c r="D48" s="18"/>
      <c r="E48" s="17"/>
      <c r="F48" s="19"/>
      <c r="G48" s="15" t="str">
        <f>IF(ISNUMBER(F48), INT((F48+ΡΥΘΜΙΣΕΙΣ!$B$5-1)/ΡΥΘΜΙΣΕΙΣ!$B$5), "")</f>
        <v/>
      </c>
      <c r="H48" s="15" t="str">
        <f>IF(AND(ISNUMBER(F48), B48&lt;&gt;"", C48&lt;&gt;""), IF(SUMIFS($F$3:$F$102,$B$3:$B$102,B48,$C$3:$C$102,C48)&gt;ΡΥΘΜΙΣΕΙΣ!$B$8,"ΠΡΟΣΟΧΗ: ΥΠΕΡΒΑΣΗ ΧΩΡΗΤΙΚΟΤΗΤΑΣ","Σε αναμονή"), "")</f>
        <v/>
      </c>
      <c r="I48" s="18"/>
      <c r="J48" s="18"/>
    </row>
    <row r="49" spans="1:10" ht="19.5" customHeight="1" x14ac:dyDescent="0.25">
      <c r="A49" s="15">
        <v>47</v>
      </c>
      <c r="B49" s="16"/>
      <c r="C49" s="17"/>
      <c r="D49" s="18"/>
      <c r="E49" s="17"/>
      <c r="F49" s="19"/>
      <c r="G49" s="15" t="str">
        <f>IF(ISNUMBER(F49), INT((F49+ΡΥΘΜΙΣΕΙΣ!$B$5-1)/ΡΥΘΜΙΣΕΙΣ!$B$5), "")</f>
        <v/>
      </c>
      <c r="H49" s="15" t="str">
        <f>IF(AND(ISNUMBER(F49), B49&lt;&gt;"", C49&lt;&gt;""), IF(SUMIFS($F$3:$F$102,$B$3:$B$102,B49,$C$3:$C$102,C49)&gt;ΡΥΘΜΙΣΕΙΣ!$B$8,"ΠΡΟΣΟΧΗ: ΥΠΕΡΒΑΣΗ ΧΩΡΗΤΙΚΟΤΗΤΑΣ","Σε αναμονή"), "")</f>
        <v/>
      </c>
      <c r="I49" s="18"/>
      <c r="J49" s="18"/>
    </row>
    <row r="50" spans="1:10" ht="19.5" customHeight="1" x14ac:dyDescent="0.25">
      <c r="A50" s="15">
        <v>48</v>
      </c>
      <c r="B50" s="16"/>
      <c r="C50" s="17"/>
      <c r="D50" s="18"/>
      <c r="E50" s="17"/>
      <c r="F50" s="19"/>
      <c r="G50" s="15" t="str">
        <f>IF(ISNUMBER(F50), INT((F50+ΡΥΘΜΙΣΕΙΣ!$B$5-1)/ΡΥΘΜΙΣΕΙΣ!$B$5), "")</f>
        <v/>
      </c>
      <c r="H50" s="15" t="str">
        <f>IF(AND(ISNUMBER(F50), B50&lt;&gt;"", C50&lt;&gt;""), IF(SUMIFS($F$3:$F$102,$B$3:$B$102,B50,$C$3:$C$102,C50)&gt;ΡΥΘΜΙΣΕΙΣ!$B$8,"ΠΡΟΣΟΧΗ: ΥΠΕΡΒΑΣΗ ΧΩΡΗΤΙΚΟΤΗΤΑΣ","Σε αναμονή"), "")</f>
        <v/>
      </c>
      <c r="I50" s="18"/>
      <c r="J50" s="18"/>
    </row>
    <row r="51" spans="1:10" ht="19.5" customHeight="1" x14ac:dyDescent="0.25">
      <c r="A51" s="15">
        <v>49</v>
      </c>
      <c r="B51" s="16"/>
      <c r="C51" s="17"/>
      <c r="D51" s="18"/>
      <c r="E51" s="17"/>
      <c r="F51" s="19"/>
      <c r="G51" s="15" t="str">
        <f>IF(ISNUMBER(F51), INT((F51+ΡΥΘΜΙΣΕΙΣ!$B$5-1)/ΡΥΘΜΙΣΕΙΣ!$B$5), "")</f>
        <v/>
      </c>
      <c r="H51" s="15" t="str">
        <f>IF(AND(ISNUMBER(F51), B51&lt;&gt;"", C51&lt;&gt;""), IF(SUMIFS($F$3:$F$102,$B$3:$B$102,B51,$C$3:$C$102,C51)&gt;ΡΥΘΜΙΣΕΙΣ!$B$8,"ΠΡΟΣΟΧΗ: ΥΠΕΡΒΑΣΗ ΧΩΡΗΤΙΚΟΤΗΤΑΣ","Σε αναμονή"), "")</f>
        <v/>
      </c>
      <c r="I51" s="18"/>
      <c r="J51" s="18"/>
    </row>
    <row r="52" spans="1:10" ht="19.5" customHeight="1" x14ac:dyDescent="0.25">
      <c r="A52" s="15">
        <v>50</v>
      </c>
      <c r="B52" s="16"/>
      <c r="C52" s="17"/>
      <c r="D52" s="18"/>
      <c r="E52" s="17"/>
      <c r="F52" s="19"/>
      <c r="G52" s="15" t="str">
        <f>IF(ISNUMBER(F52), INT((F52+ΡΥΘΜΙΣΕΙΣ!$B$5-1)/ΡΥΘΜΙΣΕΙΣ!$B$5), "")</f>
        <v/>
      </c>
      <c r="H52" s="15" t="str">
        <f>IF(AND(ISNUMBER(F52), B52&lt;&gt;"", C52&lt;&gt;""), IF(SUMIFS($F$3:$F$102,$B$3:$B$102,B52,$C$3:$C$102,C52)&gt;ΡΥΘΜΙΣΕΙΣ!$B$8,"ΠΡΟΣΟΧΗ: ΥΠΕΡΒΑΣΗ ΧΩΡΗΤΙΚΟΤΗΤΑΣ","Σε αναμονή"), "")</f>
        <v/>
      </c>
      <c r="I52" s="18"/>
      <c r="J52" s="18"/>
    </row>
    <row r="53" spans="1:10" ht="19.5" customHeight="1" x14ac:dyDescent="0.25">
      <c r="A53" s="15">
        <v>51</v>
      </c>
      <c r="B53" s="16"/>
      <c r="C53" s="17"/>
      <c r="D53" s="18"/>
      <c r="E53" s="17"/>
      <c r="F53" s="19"/>
      <c r="G53" s="15" t="str">
        <f>IF(ISNUMBER(F53), INT((F53+ΡΥΘΜΙΣΕΙΣ!$B$5-1)/ΡΥΘΜΙΣΕΙΣ!$B$5), "")</f>
        <v/>
      </c>
      <c r="H53" s="15" t="str">
        <f>IF(AND(ISNUMBER(F53), B53&lt;&gt;"", C53&lt;&gt;""), IF(SUMIFS($F$3:$F$102,$B$3:$B$102,B53,$C$3:$C$102,C53)&gt;ΡΥΘΜΙΣΕΙΣ!$B$8,"ΠΡΟΣΟΧΗ: ΥΠΕΡΒΑΣΗ ΧΩΡΗΤΙΚΟΤΗΤΑΣ","Σε αναμονή"), "")</f>
        <v/>
      </c>
      <c r="I53" s="18"/>
      <c r="J53" s="18"/>
    </row>
    <row r="54" spans="1:10" ht="19.5" customHeight="1" x14ac:dyDescent="0.25">
      <c r="A54" s="15">
        <v>52</v>
      </c>
      <c r="B54" s="16"/>
      <c r="C54" s="17"/>
      <c r="D54" s="18"/>
      <c r="E54" s="17"/>
      <c r="F54" s="19"/>
      <c r="G54" s="15" t="str">
        <f>IF(ISNUMBER(F54), INT((F54+ΡΥΘΜΙΣΕΙΣ!$B$5-1)/ΡΥΘΜΙΣΕΙΣ!$B$5), "")</f>
        <v/>
      </c>
      <c r="H54" s="15" t="str">
        <f>IF(AND(ISNUMBER(F54), B54&lt;&gt;"", C54&lt;&gt;""), IF(SUMIFS($F$3:$F$102,$B$3:$B$102,B54,$C$3:$C$102,C54)&gt;ΡΥΘΜΙΣΕΙΣ!$B$8,"ΠΡΟΣΟΧΗ: ΥΠΕΡΒΑΣΗ ΧΩΡΗΤΙΚΟΤΗΤΑΣ","Σε αναμονή"), "")</f>
        <v/>
      </c>
      <c r="I54" s="18"/>
      <c r="J54" s="18"/>
    </row>
    <row r="55" spans="1:10" ht="19.5" customHeight="1" x14ac:dyDescent="0.25">
      <c r="A55" s="15">
        <v>53</v>
      </c>
      <c r="B55" s="16"/>
      <c r="C55" s="17"/>
      <c r="D55" s="18"/>
      <c r="E55" s="17"/>
      <c r="F55" s="19"/>
      <c r="G55" s="15" t="str">
        <f>IF(ISNUMBER(F55), INT((F55+ΡΥΘΜΙΣΕΙΣ!$B$5-1)/ΡΥΘΜΙΣΕΙΣ!$B$5), "")</f>
        <v/>
      </c>
      <c r="H55" s="15" t="str">
        <f>IF(AND(ISNUMBER(F55), B55&lt;&gt;"", C55&lt;&gt;""), IF(SUMIFS($F$3:$F$102,$B$3:$B$102,B55,$C$3:$C$102,C55)&gt;ΡΥΘΜΙΣΕΙΣ!$B$8,"ΠΡΟΣΟΧΗ: ΥΠΕΡΒΑΣΗ ΧΩΡΗΤΙΚΟΤΗΤΑΣ","Σε αναμονή"), "")</f>
        <v/>
      </c>
      <c r="I55" s="18"/>
      <c r="J55" s="18"/>
    </row>
    <row r="56" spans="1:10" ht="19.5" customHeight="1" x14ac:dyDescent="0.25">
      <c r="A56" s="15">
        <v>54</v>
      </c>
      <c r="B56" s="16"/>
      <c r="C56" s="17"/>
      <c r="D56" s="18"/>
      <c r="E56" s="17"/>
      <c r="F56" s="19"/>
      <c r="G56" s="15" t="str">
        <f>IF(ISNUMBER(F56), INT((F56+ΡΥΘΜΙΣΕΙΣ!$B$5-1)/ΡΥΘΜΙΣΕΙΣ!$B$5), "")</f>
        <v/>
      </c>
      <c r="H56" s="15" t="str">
        <f>IF(AND(ISNUMBER(F56), B56&lt;&gt;"", C56&lt;&gt;""), IF(SUMIFS($F$3:$F$102,$B$3:$B$102,B56,$C$3:$C$102,C56)&gt;ΡΥΘΜΙΣΕΙΣ!$B$8,"ΠΡΟΣΟΧΗ: ΥΠΕΡΒΑΣΗ ΧΩΡΗΤΙΚΟΤΗΤΑΣ","Σε αναμονή"), "")</f>
        <v/>
      </c>
      <c r="I56" s="18"/>
      <c r="J56" s="18"/>
    </row>
    <row r="57" spans="1:10" ht="19.5" customHeight="1" x14ac:dyDescent="0.25">
      <c r="A57" s="15">
        <v>55</v>
      </c>
      <c r="B57" s="16"/>
      <c r="C57" s="17"/>
      <c r="D57" s="18"/>
      <c r="E57" s="17"/>
      <c r="F57" s="19"/>
      <c r="G57" s="15" t="str">
        <f>IF(ISNUMBER(F57), INT((F57+ΡΥΘΜΙΣΕΙΣ!$B$5-1)/ΡΥΘΜΙΣΕΙΣ!$B$5), "")</f>
        <v/>
      </c>
      <c r="H57" s="15" t="str">
        <f>IF(AND(ISNUMBER(F57), B57&lt;&gt;"", C57&lt;&gt;""), IF(SUMIFS($F$3:$F$102,$B$3:$B$102,B57,$C$3:$C$102,C57)&gt;ΡΥΘΜΙΣΕΙΣ!$B$8,"ΠΡΟΣΟΧΗ: ΥΠΕΡΒΑΣΗ ΧΩΡΗΤΙΚΟΤΗΤΑΣ","Σε αναμονή"), "")</f>
        <v/>
      </c>
      <c r="I57" s="18"/>
      <c r="J57" s="18"/>
    </row>
    <row r="58" spans="1:10" ht="19.5" customHeight="1" x14ac:dyDescent="0.25">
      <c r="A58" s="15">
        <v>56</v>
      </c>
      <c r="B58" s="16"/>
      <c r="C58" s="17"/>
      <c r="D58" s="18"/>
      <c r="E58" s="17"/>
      <c r="F58" s="19"/>
      <c r="G58" s="15" t="str">
        <f>IF(ISNUMBER(F58), INT((F58+ΡΥΘΜΙΣΕΙΣ!$B$5-1)/ΡΥΘΜΙΣΕΙΣ!$B$5), "")</f>
        <v/>
      </c>
      <c r="H58" s="15" t="str">
        <f>IF(AND(ISNUMBER(F58), B58&lt;&gt;"", C58&lt;&gt;""), IF(SUMIFS($F$3:$F$102,$B$3:$B$102,B58,$C$3:$C$102,C58)&gt;ΡΥΘΜΙΣΕΙΣ!$B$8,"ΠΡΟΣΟΧΗ: ΥΠΕΡΒΑΣΗ ΧΩΡΗΤΙΚΟΤΗΤΑΣ","Σε αναμονή"), "")</f>
        <v/>
      </c>
      <c r="I58" s="18"/>
      <c r="J58" s="18"/>
    </row>
    <row r="59" spans="1:10" ht="19.5" customHeight="1" x14ac:dyDescent="0.25">
      <c r="A59" s="15">
        <v>57</v>
      </c>
      <c r="B59" s="16"/>
      <c r="C59" s="17"/>
      <c r="D59" s="18"/>
      <c r="E59" s="17"/>
      <c r="F59" s="19"/>
      <c r="G59" s="15" t="str">
        <f>IF(ISNUMBER(F59), INT((F59+ΡΥΘΜΙΣΕΙΣ!$B$5-1)/ΡΥΘΜΙΣΕΙΣ!$B$5), "")</f>
        <v/>
      </c>
      <c r="H59" s="15" t="str">
        <f>IF(AND(ISNUMBER(F59), B59&lt;&gt;"", C59&lt;&gt;""), IF(SUMIFS($F$3:$F$102,$B$3:$B$102,B59,$C$3:$C$102,C59)&gt;ΡΥΘΜΙΣΕΙΣ!$B$8,"ΠΡΟΣΟΧΗ: ΥΠΕΡΒΑΣΗ ΧΩΡΗΤΙΚΟΤΗΤΑΣ","Σε αναμονή"), "")</f>
        <v/>
      </c>
      <c r="I59" s="18"/>
      <c r="J59" s="18"/>
    </row>
    <row r="60" spans="1:10" ht="19.5" customHeight="1" x14ac:dyDescent="0.25">
      <c r="A60" s="15">
        <v>58</v>
      </c>
      <c r="B60" s="16"/>
      <c r="C60" s="17"/>
      <c r="D60" s="18"/>
      <c r="E60" s="17"/>
      <c r="F60" s="19"/>
      <c r="G60" s="15" t="str">
        <f>IF(ISNUMBER(F60), INT((F60+ΡΥΘΜΙΣΕΙΣ!$B$5-1)/ΡΥΘΜΙΣΕΙΣ!$B$5), "")</f>
        <v/>
      </c>
      <c r="H60" s="15" t="str">
        <f>IF(AND(ISNUMBER(F60), B60&lt;&gt;"", C60&lt;&gt;""), IF(SUMIFS($F$3:$F$102,$B$3:$B$102,B60,$C$3:$C$102,C60)&gt;ΡΥΘΜΙΣΕΙΣ!$B$8,"ΠΡΟΣΟΧΗ: ΥΠΕΡΒΑΣΗ ΧΩΡΗΤΙΚΟΤΗΤΑΣ","Σε αναμονή"), "")</f>
        <v/>
      </c>
      <c r="I60" s="18"/>
      <c r="J60" s="18"/>
    </row>
    <row r="61" spans="1:10" ht="19.5" customHeight="1" x14ac:dyDescent="0.25">
      <c r="A61" s="15">
        <v>59</v>
      </c>
      <c r="B61" s="16"/>
      <c r="C61" s="17"/>
      <c r="D61" s="18"/>
      <c r="E61" s="17"/>
      <c r="F61" s="19"/>
      <c r="G61" s="15" t="str">
        <f>IF(ISNUMBER(F61), INT((F61+ΡΥΘΜΙΣΕΙΣ!$B$5-1)/ΡΥΘΜΙΣΕΙΣ!$B$5), "")</f>
        <v/>
      </c>
      <c r="H61" s="15" t="str">
        <f>IF(AND(ISNUMBER(F61), B61&lt;&gt;"", C61&lt;&gt;""), IF(SUMIFS($F$3:$F$102,$B$3:$B$102,B61,$C$3:$C$102,C61)&gt;ΡΥΘΜΙΣΕΙΣ!$B$8,"ΠΡΟΣΟΧΗ: ΥΠΕΡΒΑΣΗ ΧΩΡΗΤΙΚΟΤΗΤΑΣ","Σε αναμονή"), "")</f>
        <v/>
      </c>
      <c r="I61" s="18"/>
      <c r="J61" s="18"/>
    </row>
    <row r="62" spans="1:10" ht="19.5" customHeight="1" x14ac:dyDescent="0.25">
      <c r="A62" s="15">
        <v>60</v>
      </c>
      <c r="B62" s="16"/>
      <c r="C62" s="17"/>
      <c r="D62" s="18"/>
      <c r="E62" s="17"/>
      <c r="F62" s="19"/>
      <c r="G62" s="15" t="str">
        <f>IF(ISNUMBER(F62), INT((F62+ΡΥΘΜΙΣΕΙΣ!$B$5-1)/ΡΥΘΜΙΣΕΙΣ!$B$5), "")</f>
        <v/>
      </c>
      <c r="H62" s="15" t="str">
        <f>IF(AND(ISNUMBER(F62), B62&lt;&gt;"", C62&lt;&gt;""), IF(SUMIFS($F$3:$F$102,$B$3:$B$102,B62,$C$3:$C$102,C62)&gt;ΡΥΘΜΙΣΕΙΣ!$B$8,"ΠΡΟΣΟΧΗ: ΥΠΕΡΒΑΣΗ ΧΩΡΗΤΙΚΟΤΗΤΑΣ","Σε αναμονή"), "")</f>
        <v/>
      </c>
      <c r="I62" s="18"/>
      <c r="J62" s="18"/>
    </row>
    <row r="63" spans="1:10" ht="19.5" customHeight="1" x14ac:dyDescent="0.25">
      <c r="A63" s="15">
        <v>61</v>
      </c>
      <c r="B63" s="16"/>
      <c r="C63" s="17"/>
      <c r="D63" s="18"/>
      <c r="E63" s="17"/>
      <c r="F63" s="19"/>
      <c r="G63" s="15" t="str">
        <f>IF(ISNUMBER(F63), INT((F63+ΡΥΘΜΙΣΕΙΣ!$B$5-1)/ΡΥΘΜΙΣΕΙΣ!$B$5), "")</f>
        <v/>
      </c>
      <c r="H63" s="15" t="str">
        <f>IF(AND(ISNUMBER(F63), B63&lt;&gt;"", C63&lt;&gt;""), IF(SUMIFS($F$3:$F$102,$B$3:$B$102,B63,$C$3:$C$102,C63)&gt;ΡΥΘΜΙΣΕΙΣ!$B$8,"ΠΡΟΣΟΧΗ: ΥΠΕΡΒΑΣΗ ΧΩΡΗΤΙΚΟΤΗΤΑΣ","Σε αναμονή"), "")</f>
        <v/>
      </c>
      <c r="I63" s="18"/>
      <c r="J63" s="18"/>
    </row>
    <row r="64" spans="1:10" ht="19.5" customHeight="1" x14ac:dyDescent="0.25">
      <c r="A64" s="15">
        <v>62</v>
      </c>
      <c r="B64" s="16"/>
      <c r="C64" s="17"/>
      <c r="D64" s="18"/>
      <c r="E64" s="17"/>
      <c r="F64" s="19"/>
      <c r="G64" s="15" t="str">
        <f>IF(ISNUMBER(F64), INT((F64+ΡΥΘΜΙΣΕΙΣ!$B$5-1)/ΡΥΘΜΙΣΕΙΣ!$B$5), "")</f>
        <v/>
      </c>
      <c r="H64" s="15" t="str">
        <f>IF(AND(ISNUMBER(F64), B64&lt;&gt;"", C64&lt;&gt;""), IF(SUMIFS($F$3:$F$102,$B$3:$B$102,B64,$C$3:$C$102,C64)&gt;ΡΥΘΜΙΣΕΙΣ!$B$8,"ΠΡΟΣΟΧΗ: ΥΠΕΡΒΑΣΗ ΧΩΡΗΤΙΚΟΤΗΤΑΣ","Σε αναμονή"), "")</f>
        <v/>
      </c>
      <c r="I64" s="18"/>
      <c r="J64" s="18"/>
    </row>
    <row r="65" spans="1:10" ht="19.5" customHeight="1" x14ac:dyDescent="0.25">
      <c r="A65" s="15">
        <v>63</v>
      </c>
      <c r="B65" s="16"/>
      <c r="C65" s="17"/>
      <c r="D65" s="18"/>
      <c r="E65" s="17"/>
      <c r="F65" s="19"/>
      <c r="G65" s="15" t="str">
        <f>IF(ISNUMBER(F65), INT((F65+ΡΥΘΜΙΣΕΙΣ!$B$5-1)/ΡΥΘΜΙΣΕΙΣ!$B$5), "")</f>
        <v/>
      </c>
      <c r="H65" s="15" t="str">
        <f>IF(AND(ISNUMBER(F65), B65&lt;&gt;"", C65&lt;&gt;""), IF(SUMIFS($F$3:$F$102,$B$3:$B$102,B65,$C$3:$C$102,C65)&gt;ΡΥΘΜΙΣΕΙΣ!$B$8,"ΠΡΟΣΟΧΗ: ΥΠΕΡΒΑΣΗ ΧΩΡΗΤΙΚΟΤΗΤΑΣ","Σε αναμονή"), "")</f>
        <v/>
      </c>
      <c r="I65" s="18"/>
      <c r="J65" s="18"/>
    </row>
    <row r="66" spans="1:10" ht="19.5" customHeight="1" x14ac:dyDescent="0.25">
      <c r="A66" s="15">
        <v>64</v>
      </c>
      <c r="B66" s="16"/>
      <c r="C66" s="17"/>
      <c r="D66" s="18"/>
      <c r="E66" s="17"/>
      <c r="F66" s="19"/>
      <c r="G66" s="15" t="str">
        <f>IF(ISNUMBER(F66), INT((F66+ΡΥΘΜΙΣΕΙΣ!$B$5-1)/ΡΥΘΜΙΣΕΙΣ!$B$5), "")</f>
        <v/>
      </c>
      <c r="H66" s="15" t="str">
        <f>IF(AND(ISNUMBER(F66), B66&lt;&gt;"", C66&lt;&gt;""), IF(SUMIFS($F$3:$F$102,$B$3:$B$102,B66,$C$3:$C$102,C66)&gt;ΡΥΘΜΙΣΕΙΣ!$B$8,"ΠΡΟΣΟΧΗ: ΥΠΕΡΒΑΣΗ ΧΩΡΗΤΙΚΟΤΗΤΑΣ","Σε αναμονή"), "")</f>
        <v/>
      </c>
      <c r="I66" s="18"/>
      <c r="J66" s="18"/>
    </row>
    <row r="67" spans="1:10" ht="19.5" customHeight="1" x14ac:dyDescent="0.25">
      <c r="A67" s="15">
        <v>65</v>
      </c>
      <c r="B67" s="16"/>
      <c r="C67" s="17"/>
      <c r="D67" s="18"/>
      <c r="E67" s="17"/>
      <c r="F67" s="19"/>
      <c r="G67" s="15" t="str">
        <f>IF(ISNUMBER(F67), INT((F67+ΡΥΘΜΙΣΕΙΣ!$B$5-1)/ΡΥΘΜΙΣΕΙΣ!$B$5), "")</f>
        <v/>
      </c>
      <c r="H67" s="15" t="str">
        <f>IF(AND(ISNUMBER(F67), B67&lt;&gt;"", C67&lt;&gt;""), IF(SUMIFS($F$3:$F$102,$B$3:$B$102,B67,$C$3:$C$102,C67)&gt;ΡΥΘΜΙΣΕΙΣ!$B$8,"ΠΡΟΣΟΧΗ: ΥΠΕΡΒΑΣΗ ΧΩΡΗΤΙΚΟΤΗΤΑΣ","Σε αναμονή"), "")</f>
        <v/>
      </c>
      <c r="I67" s="18"/>
      <c r="J67" s="18"/>
    </row>
    <row r="68" spans="1:10" ht="19.5" customHeight="1" x14ac:dyDescent="0.25">
      <c r="A68" s="15">
        <v>66</v>
      </c>
      <c r="B68" s="16"/>
      <c r="C68" s="17"/>
      <c r="D68" s="18"/>
      <c r="E68" s="17"/>
      <c r="F68" s="19"/>
      <c r="G68" s="15" t="str">
        <f>IF(ISNUMBER(F68), INT((F68+ΡΥΘΜΙΣΕΙΣ!$B$5-1)/ΡΥΘΜΙΣΕΙΣ!$B$5), "")</f>
        <v/>
      </c>
      <c r="H68" s="15" t="str">
        <f>IF(AND(ISNUMBER(F68), B68&lt;&gt;"", C68&lt;&gt;""), IF(SUMIFS($F$3:$F$102,$B$3:$B$102,B68,$C$3:$C$102,C68)&gt;ΡΥΘΜΙΣΕΙΣ!$B$8,"ΠΡΟΣΟΧΗ: ΥΠΕΡΒΑΣΗ ΧΩΡΗΤΙΚΟΤΗΤΑΣ","Σε αναμονή"), "")</f>
        <v/>
      </c>
      <c r="I68" s="18"/>
      <c r="J68" s="18"/>
    </row>
    <row r="69" spans="1:10" ht="19.5" customHeight="1" x14ac:dyDescent="0.25">
      <c r="A69" s="15">
        <v>67</v>
      </c>
      <c r="B69" s="16"/>
      <c r="C69" s="17"/>
      <c r="D69" s="18"/>
      <c r="E69" s="17"/>
      <c r="F69" s="19"/>
      <c r="G69" s="15" t="str">
        <f>IF(ISNUMBER(F69), INT((F69+ΡΥΘΜΙΣΕΙΣ!$B$5-1)/ΡΥΘΜΙΣΕΙΣ!$B$5), "")</f>
        <v/>
      </c>
      <c r="H69" s="15" t="str">
        <f>IF(AND(ISNUMBER(F69), B69&lt;&gt;"", C69&lt;&gt;""), IF(SUMIFS($F$3:$F$102,$B$3:$B$102,B69,$C$3:$C$102,C69)&gt;ΡΥΘΜΙΣΕΙΣ!$B$8,"ΠΡΟΣΟΧΗ: ΥΠΕΡΒΑΣΗ ΧΩΡΗΤΙΚΟΤΗΤΑΣ","Σε αναμονή"), "")</f>
        <v/>
      </c>
      <c r="I69" s="18"/>
      <c r="J69" s="18"/>
    </row>
    <row r="70" spans="1:10" ht="19.5" customHeight="1" x14ac:dyDescent="0.25">
      <c r="A70" s="15">
        <v>68</v>
      </c>
      <c r="B70" s="16"/>
      <c r="C70" s="17"/>
      <c r="D70" s="18"/>
      <c r="E70" s="17"/>
      <c r="F70" s="19"/>
      <c r="G70" s="15" t="str">
        <f>IF(ISNUMBER(F70), INT((F70+ΡΥΘΜΙΣΕΙΣ!$B$5-1)/ΡΥΘΜΙΣΕΙΣ!$B$5), "")</f>
        <v/>
      </c>
      <c r="H70" s="15" t="str">
        <f>IF(AND(ISNUMBER(F70), B70&lt;&gt;"", C70&lt;&gt;""), IF(SUMIFS($F$3:$F$102,$B$3:$B$102,B70,$C$3:$C$102,C70)&gt;ΡΥΘΜΙΣΕΙΣ!$B$8,"ΠΡΟΣΟΧΗ: ΥΠΕΡΒΑΣΗ ΧΩΡΗΤΙΚΟΤΗΤΑΣ","Σε αναμονή"), "")</f>
        <v/>
      </c>
      <c r="I70" s="18"/>
      <c r="J70" s="18"/>
    </row>
    <row r="71" spans="1:10" ht="19.5" customHeight="1" x14ac:dyDescent="0.25">
      <c r="A71" s="15">
        <v>69</v>
      </c>
      <c r="B71" s="16"/>
      <c r="C71" s="17"/>
      <c r="D71" s="18"/>
      <c r="E71" s="17"/>
      <c r="F71" s="19"/>
      <c r="G71" s="15" t="str">
        <f>IF(ISNUMBER(F71), INT((F71+ΡΥΘΜΙΣΕΙΣ!$B$5-1)/ΡΥΘΜΙΣΕΙΣ!$B$5), "")</f>
        <v/>
      </c>
      <c r="H71" s="15" t="str">
        <f>IF(AND(ISNUMBER(F71), B71&lt;&gt;"", C71&lt;&gt;""), IF(SUMIFS($F$3:$F$102,$B$3:$B$102,B71,$C$3:$C$102,C71)&gt;ΡΥΘΜΙΣΕΙΣ!$B$8,"ΠΡΟΣΟΧΗ: ΥΠΕΡΒΑΣΗ ΧΩΡΗΤΙΚΟΤΗΤΑΣ","Σε αναμονή"), "")</f>
        <v/>
      </c>
      <c r="I71" s="18"/>
      <c r="J71" s="18"/>
    </row>
    <row r="72" spans="1:10" ht="19.5" customHeight="1" x14ac:dyDescent="0.25">
      <c r="A72" s="15">
        <v>70</v>
      </c>
      <c r="B72" s="16"/>
      <c r="C72" s="17"/>
      <c r="D72" s="18"/>
      <c r="E72" s="17"/>
      <c r="F72" s="19"/>
      <c r="G72" s="15" t="str">
        <f>IF(ISNUMBER(F72), INT((F72+ΡΥΘΜΙΣΕΙΣ!$B$5-1)/ΡΥΘΜΙΣΕΙΣ!$B$5), "")</f>
        <v/>
      </c>
      <c r="H72" s="15" t="str">
        <f>IF(AND(ISNUMBER(F72), B72&lt;&gt;"", C72&lt;&gt;""), IF(SUMIFS($F$3:$F$102,$B$3:$B$102,B72,$C$3:$C$102,C72)&gt;ΡΥΘΜΙΣΕΙΣ!$B$8,"ΠΡΟΣΟΧΗ: ΥΠΕΡΒΑΣΗ ΧΩΡΗΤΙΚΟΤΗΤΑΣ","Σε αναμονή"), "")</f>
        <v/>
      </c>
      <c r="I72" s="18"/>
      <c r="J72" s="18"/>
    </row>
    <row r="73" spans="1:10" ht="19.5" customHeight="1" x14ac:dyDescent="0.25">
      <c r="A73" s="15">
        <v>71</v>
      </c>
      <c r="B73" s="16"/>
      <c r="C73" s="17"/>
      <c r="D73" s="18"/>
      <c r="E73" s="17"/>
      <c r="F73" s="19"/>
      <c r="G73" s="15" t="str">
        <f>IF(ISNUMBER(F73), INT((F73+ΡΥΘΜΙΣΕΙΣ!$B$5-1)/ΡΥΘΜΙΣΕΙΣ!$B$5), "")</f>
        <v/>
      </c>
      <c r="H73" s="15" t="str">
        <f>IF(AND(ISNUMBER(F73), B73&lt;&gt;"", C73&lt;&gt;""), IF(SUMIFS($F$3:$F$102,$B$3:$B$102,B73,$C$3:$C$102,C73)&gt;ΡΥΘΜΙΣΕΙΣ!$B$8,"ΠΡΟΣΟΧΗ: ΥΠΕΡΒΑΣΗ ΧΩΡΗΤΙΚΟΤΗΤΑΣ","Σε αναμονή"), "")</f>
        <v/>
      </c>
      <c r="I73" s="18"/>
      <c r="J73" s="18"/>
    </row>
    <row r="74" spans="1:10" ht="19.5" customHeight="1" x14ac:dyDescent="0.25">
      <c r="A74" s="15">
        <v>72</v>
      </c>
      <c r="B74" s="16"/>
      <c r="C74" s="17"/>
      <c r="D74" s="18"/>
      <c r="E74" s="17"/>
      <c r="F74" s="19"/>
      <c r="G74" s="15" t="str">
        <f>IF(ISNUMBER(F74), INT((F74+ΡΥΘΜΙΣΕΙΣ!$B$5-1)/ΡΥΘΜΙΣΕΙΣ!$B$5), "")</f>
        <v/>
      </c>
      <c r="H74" s="15" t="str">
        <f>IF(AND(ISNUMBER(F74), B74&lt;&gt;"", C74&lt;&gt;""), IF(SUMIFS($F$3:$F$102,$B$3:$B$102,B74,$C$3:$C$102,C74)&gt;ΡΥΘΜΙΣΕΙΣ!$B$8,"ΠΡΟΣΟΧΗ: ΥΠΕΡΒΑΣΗ ΧΩΡΗΤΙΚΟΤΗΤΑΣ","Σε αναμονή"), "")</f>
        <v/>
      </c>
      <c r="I74" s="18"/>
      <c r="J74" s="18"/>
    </row>
    <row r="75" spans="1:10" ht="19.5" customHeight="1" x14ac:dyDescent="0.25">
      <c r="A75" s="15">
        <v>73</v>
      </c>
      <c r="B75" s="16"/>
      <c r="C75" s="17"/>
      <c r="D75" s="18"/>
      <c r="E75" s="17"/>
      <c r="F75" s="19"/>
      <c r="G75" s="15" t="str">
        <f>IF(ISNUMBER(F75), INT((F75+ΡΥΘΜΙΣΕΙΣ!$B$5-1)/ΡΥΘΜΙΣΕΙΣ!$B$5), "")</f>
        <v/>
      </c>
      <c r="H75" s="15" t="str">
        <f>IF(AND(ISNUMBER(F75), B75&lt;&gt;"", C75&lt;&gt;""), IF(SUMIFS($F$3:$F$102,$B$3:$B$102,B75,$C$3:$C$102,C75)&gt;ΡΥΘΜΙΣΕΙΣ!$B$8,"ΠΡΟΣΟΧΗ: ΥΠΕΡΒΑΣΗ ΧΩΡΗΤΙΚΟΤΗΤΑΣ","Σε αναμονή"), "")</f>
        <v/>
      </c>
      <c r="I75" s="18"/>
      <c r="J75" s="18"/>
    </row>
    <row r="76" spans="1:10" ht="19.5" customHeight="1" x14ac:dyDescent="0.25">
      <c r="A76" s="15">
        <v>74</v>
      </c>
      <c r="B76" s="16"/>
      <c r="C76" s="17"/>
      <c r="D76" s="18"/>
      <c r="E76" s="17"/>
      <c r="F76" s="19"/>
      <c r="G76" s="15" t="str">
        <f>IF(ISNUMBER(F76), INT((F76+ΡΥΘΜΙΣΕΙΣ!$B$5-1)/ΡΥΘΜΙΣΕΙΣ!$B$5), "")</f>
        <v/>
      </c>
      <c r="H76" s="15" t="str">
        <f>IF(AND(ISNUMBER(F76), B76&lt;&gt;"", C76&lt;&gt;""), IF(SUMIFS($F$3:$F$102,$B$3:$B$102,B76,$C$3:$C$102,C76)&gt;ΡΥΘΜΙΣΕΙΣ!$B$8,"ΠΡΟΣΟΧΗ: ΥΠΕΡΒΑΣΗ ΧΩΡΗΤΙΚΟΤΗΤΑΣ","Σε αναμονή"), "")</f>
        <v/>
      </c>
      <c r="I76" s="18"/>
      <c r="J76" s="18"/>
    </row>
    <row r="77" spans="1:10" ht="19.5" customHeight="1" x14ac:dyDescent="0.25">
      <c r="A77" s="15">
        <v>75</v>
      </c>
      <c r="B77" s="16"/>
      <c r="C77" s="17"/>
      <c r="D77" s="18"/>
      <c r="E77" s="17"/>
      <c r="F77" s="19"/>
      <c r="G77" s="15" t="str">
        <f>IF(ISNUMBER(F77), INT((F77+ΡΥΘΜΙΣΕΙΣ!$B$5-1)/ΡΥΘΜΙΣΕΙΣ!$B$5), "")</f>
        <v/>
      </c>
      <c r="H77" s="15" t="str">
        <f>IF(AND(ISNUMBER(F77), B77&lt;&gt;"", C77&lt;&gt;""), IF(SUMIFS($F$3:$F$102,$B$3:$B$102,B77,$C$3:$C$102,C77)&gt;ΡΥΘΜΙΣΕΙΣ!$B$8,"ΠΡΟΣΟΧΗ: ΥΠΕΡΒΑΣΗ ΧΩΡΗΤΙΚΟΤΗΤΑΣ","Σε αναμονή"), "")</f>
        <v/>
      </c>
      <c r="I77" s="18"/>
      <c r="J77" s="18"/>
    </row>
    <row r="78" spans="1:10" ht="19.5" customHeight="1" x14ac:dyDescent="0.25">
      <c r="A78" s="15">
        <v>76</v>
      </c>
      <c r="B78" s="16"/>
      <c r="C78" s="17"/>
      <c r="D78" s="18"/>
      <c r="E78" s="17"/>
      <c r="F78" s="19"/>
      <c r="G78" s="15" t="str">
        <f>IF(ISNUMBER(F78), INT((F78+ΡΥΘΜΙΣΕΙΣ!$B$5-1)/ΡΥΘΜΙΣΕΙΣ!$B$5), "")</f>
        <v/>
      </c>
      <c r="H78" s="15" t="str">
        <f>IF(AND(ISNUMBER(F78), B78&lt;&gt;"", C78&lt;&gt;""), IF(SUMIFS($F$3:$F$102,$B$3:$B$102,B78,$C$3:$C$102,C78)&gt;ΡΥΘΜΙΣΕΙΣ!$B$8,"ΠΡΟΣΟΧΗ: ΥΠΕΡΒΑΣΗ ΧΩΡΗΤΙΚΟΤΗΤΑΣ","Σε αναμονή"), "")</f>
        <v/>
      </c>
      <c r="I78" s="18"/>
      <c r="J78" s="18"/>
    </row>
    <row r="79" spans="1:10" ht="19.5" customHeight="1" x14ac:dyDescent="0.25">
      <c r="A79" s="15">
        <v>77</v>
      </c>
      <c r="B79" s="16"/>
      <c r="C79" s="17"/>
      <c r="D79" s="18"/>
      <c r="E79" s="17"/>
      <c r="F79" s="19"/>
      <c r="G79" s="15" t="str">
        <f>IF(ISNUMBER(F79), INT((F79+ΡΥΘΜΙΣΕΙΣ!$B$5-1)/ΡΥΘΜΙΣΕΙΣ!$B$5), "")</f>
        <v/>
      </c>
      <c r="H79" s="15" t="str">
        <f>IF(AND(ISNUMBER(F79), B79&lt;&gt;"", C79&lt;&gt;""), IF(SUMIFS($F$3:$F$102,$B$3:$B$102,B79,$C$3:$C$102,C79)&gt;ΡΥΘΜΙΣΕΙΣ!$B$8,"ΠΡΟΣΟΧΗ: ΥΠΕΡΒΑΣΗ ΧΩΡΗΤΙΚΟΤΗΤΑΣ","Σε αναμονή"), "")</f>
        <v/>
      </c>
      <c r="I79" s="18"/>
      <c r="J79" s="18"/>
    </row>
    <row r="80" spans="1:10" ht="19.5" customHeight="1" x14ac:dyDescent="0.25">
      <c r="A80" s="15">
        <v>78</v>
      </c>
      <c r="B80" s="16"/>
      <c r="C80" s="17"/>
      <c r="D80" s="18"/>
      <c r="E80" s="17"/>
      <c r="F80" s="19"/>
      <c r="G80" s="15" t="str">
        <f>IF(ISNUMBER(F80), INT((F80+ΡΥΘΜΙΣΕΙΣ!$B$5-1)/ΡΥΘΜΙΣΕΙΣ!$B$5), "")</f>
        <v/>
      </c>
      <c r="H80" s="15" t="str">
        <f>IF(AND(ISNUMBER(F80), B80&lt;&gt;"", C80&lt;&gt;""), IF(SUMIFS($F$3:$F$102,$B$3:$B$102,B80,$C$3:$C$102,C80)&gt;ΡΥΘΜΙΣΕΙΣ!$B$8,"ΠΡΟΣΟΧΗ: ΥΠΕΡΒΑΣΗ ΧΩΡΗΤΙΚΟΤΗΤΑΣ","Σε αναμονή"), "")</f>
        <v/>
      </c>
      <c r="I80" s="18"/>
      <c r="J80" s="18"/>
    </row>
    <row r="81" spans="1:10" ht="19.5" customHeight="1" x14ac:dyDescent="0.25">
      <c r="A81" s="15">
        <v>79</v>
      </c>
      <c r="B81" s="16"/>
      <c r="C81" s="17"/>
      <c r="D81" s="18"/>
      <c r="E81" s="17"/>
      <c r="F81" s="19"/>
      <c r="G81" s="15" t="str">
        <f>IF(ISNUMBER(F81), INT((F81+ΡΥΘΜΙΣΕΙΣ!$B$5-1)/ΡΥΘΜΙΣΕΙΣ!$B$5), "")</f>
        <v/>
      </c>
      <c r="H81" s="15" t="str">
        <f>IF(AND(ISNUMBER(F81), B81&lt;&gt;"", C81&lt;&gt;""), IF(SUMIFS($F$3:$F$102,$B$3:$B$102,B81,$C$3:$C$102,C81)&gt;ΡΥΘΜΙΣΕΙΣ!$B$8,"ΠΡΟΣΟΧΗ: ΥΠΕΡΒΑΣΗ ΧΩΡΗΤΙΚΟΤΗΤΑΣ","Σε αναμονή"), "")</f>
        <v/>
      </c>
      <c r="I81" s="18"/>
      <c r="J81" s="18"/>
    </row>
    <row r="82" spans="1:10" ht="19.5" customHeight="1" x14ac:dyDescent="0.25">
      <c r="A82" s="15">
        <v>80</v>
      </c>
      <c r="B82" s="16"/>
      <c r="C82" s="17"/>
      <c r="D82" s="18"/>
      <c r="E82" s="17"/>
      <c r="F82" s="19"/>
      <c r="G82" s="15" t="str">
        <f>IF(ISNUMBER(F82), INT((F82+ΡΥΘΜΙΣΕΙΣ!$B$5-1)/ΡΥΘΜΙΣΕΙΣ!$B$5), "")</f>
        <v/>
      </c>
      <c r="H82" s="15" t="str">
        <f>IF(AND(ISNUMBER(F82), B82&lt;&gt;"", C82&lt;&gt;""), IF(SUMIFS($F$3:$F$102,$B$3:$B$102,B82,$C$3:$C$102,C82)&gt;ΡΥΘΜΙΣΕΙΣ!$B$8,"ΠΡΟΣΟΧΗ: ΥΠΕΡΒΑΣΗ ΧΩΡΗΤΙΚΟΤΗΤΑΣ","Σε αναμονή"), "")</f>
        <v/>
      </c>
      <c r="I82" s="18"/>
      <c r="J82" s="18"/>
    </row>
    <row r="83" spans="1:10" ht="19.5" customHeight="1" x14ac:dyDescent="0.25">
      <c r="A83" s="15">
        <v>81</v>
      </c>
      <c r="B83" s="16"/>
      <c r="C83" s="17"/>
      <c r="D83" s="18"/>
      <c r="E83" s="17"/>
      <c r="F83" s="19"/>
      <c r="G83" s="15" t="str">
        <f>IF(ISNUMBER(F83), INT((F83+ΡΥΘΜΙΣΕΙΣ!$B$5-1)/ΡΥΘΜΙΣΕΙΣ!$B$5), "")</f>
        <v/>
      </c>
      <c r="H83" s="15" t="str">
        <f>IF(AND(ISNUMBER(F83), B83&lt;&gt;"", C83&lt;&gt;""), IF(SUMIFS($F$3:$F$102,$B$3:$B$102,B83,$C$3:$C$102,C83)&gt;ΡΥΘΜΙΣΕΙΣ!$B$8,"ΠΡΟΣΟΧΗ: ΥΠΕΡΒΑΣΗ ΧΩΡΗΤΙΚΟΤΗΤΑΣ","Σε αναμονή"), "")</f>
        <v/>
      </c>
      <c r="I83" s="18"/>
      <c r="J83" s="18"/>
    </row>
    <row r="84" spans="1:10" ht="19.5" customHeight="1" x14ac:dyDescent="0.25">
      <c r="A84" s="15">
        <v>82</v>
      </c>
      <c r="B84" s="16"/>
      <c r="C84" s="17"/>
      <c r="D84" s="18"/>
      <c r="E84" s="17"/>
      <c r="F84" s="19"/>
      <c r="G84" s="15" t="str">
        <f>IF(ISNUMBER(F84), INT((F84+ΡΥΘΜΙΣΕΙΣ!$B$5-1)/ΡΥΘΜΙΣΕΙΣ!$B$5), "")</f>
        <v/>
      </c>
      <c r="H84" s="15" t="str">
        <f>IF(AND(ISNUMBER(F84), B84&lt;&gt;"", C84&lt;&gt;""), IF(SUMIFS($F$3:$F$102,$B$3:$B$102,B84,$C$3:$C$102,C84)&gt;ΡΥΘΜΙΣΕΙΣ!$B$8,"ΠΡΟΣΟΧΗ: ΥΠΕΡΒΑΣΗ ΧΩΡΗΤΙΚΟΤΗΤΑΣ","Σε αναμονή"), "")</f>
        <v/>
      </c>
      <c r="I84" s="18"/>
      <c r="J84" s="18"/>
    </row>
    <row r="85" spans="1:10" ht="19.5" customHeight="1" x14ac:dyDescent="0.25">
      <c r="A85" s="15">
        <v>83</v>
      </c>
      <c r="B85" s="16"/>
      <c r="C85" s="17"/>
      <c r="D85" s="18"/>
      <c r="E85" s="17"/>
      <c r="F85" s="19"/>
      <c r="G85" s="15" t="str">
        <f>IF(ISNUMBER(F85), INT((F85+ΡΥΘΜΙΣΕΙΣ!$B$5-1)/ΡΥΘΜΙΣΕΙΣ!$B$5), "")</f>
        <v/>
      </c>
      <c r="H85" s="15" t="str">
        <f>IF(AND(ISNUMBER(F85), B85&lt;&gt;"", C85&lt;&gt;""), IF(SUMIFS($F$3:$F$102,$B$3:$B$102,B85,$C$3:$C$102,C85)&gt;ΡΥΘΜΙΣΕΙΣ!$B$8,"ΠΡΟΣΟΧΗ: ΥΠΕΡΒΑΣΗ ΧΩΡΗΤΙΚΟΤΗΤΑΣ","Σε αναμονή"), "")</f>
        <v/>
      </c>
      <c r="I85" s="18"/>
      <c r="J85" s="18"/>
    </row>
    <row r="86" spans="1:10" ht="19.5" customHeight="1" x14ac:dyDescent="0.25">
      <c r="A86" s="15">
        <v>84</v>
      </c>
      <c r="B86" s="16"/>
      <c r="C86" s="17"/>
      <c r="D86" s="18"/>
      <c r="E86" s="17"/>
      <c r="F86" s="19"/>
      <c r="G86" s="15" t="str">
        <f>IF(ISNUMBER(F86), INT((F86+ΡΥΘΜΙΣΕΙΣ!$B$5-1)/ΡΥΘΜΙΣΕΙΣ!$B$5), "")</f>
        <v/>
      </c>
      <c r="H86" s="15" t="str">
        <f>IF(AND(ISNUMBER(F86), B86&lt;&gt;"", C86&lt;&gt;""), IF(SUMIFS($F$3:$F$102,$B$3:$B$102,B86,$C$3:$C$102,C86)&gt;ΡΥΘΜΙΣΕΙΣ!$B$8,"ΠΡΟΣΟΧΗ: ΥΠΕΡΒΑΣΗ ΧΩΡΗΤΙΚΟΤΗΤΑΣ","Σε αναμονή"), "")</f>
        <v/>
      </c>
      <c r="I86" s="18"/>
      <c r="J86" s="18"/>
    </row>
    <row r="87" spans="1:10" ht="19.5" customHeight="1" x14ac:dyDescent="0.25">
      <c r="A87" s="15">
        <v>85</v>
      </c>
      <c r="B87" s="16"/>
      <c r="C87" s="17"/>
      <c r="D87" s="18"/>
      <c r="E87" s="17"/>
      <c r="F87" s="19"/>
      <c r="G87" s="15" t="str">
        <f>IF(ISNUMBER(F87), INT((F87+ΡΥΘΜΙΣΕΙΣ!$B$5-1)/ΡΥΘΜΙΣΕΙΣ!$B$5), "")</f>
        <v/>
      </c>
      <c r="H87" s="15" t="str">
        <f>IF(AND(ISNUMBER(F87), B87&lt;&gt;"", C87&lt;&gt;""), IF(SUMIFS($F$3:$F$102,$B$3:$B$102,B87,$C$3:$C$102,C87)&gt;ΡΥΘΜΙΣΕΙΣ!$B$8,"ΠΡΟΣΟΧΗ: ΥΠΕΡΒΑΣΗ ΧΩΡΗΤΙΚΟΤΗΤΑΣ","Σε αναμονή"), "")</f>
        <v/>
      </c>
      <c r="I87" s="18"/>
      <c r="J87" s="18"/>
    </row>
    <row r="88" spans="1:10" ht="19.5" customHeight="1" x14ac:dyDescent="0.25">
      <c r="A88" s="15">
        <v>86</v>
      </c>
      <c r="B88" s="16"/>
      <c r="C88" s="17"/>
      <c r="D88" s="18"/>
      <c r="E88" s="17"/>
      <c r="F88" s="19"/>
      <c r="G88" s="15" t="str">
        <f>IF(ISNUMBER(F88), INT((F88+ΡΥΘΜΙΣΕΙΣ!$B$5-1)/ΡΥΘΜΙΣΕΙΣ!$B$5), "")</f>
        <v/>
      </c>
      <c r="H88" s="15" t="str">
        <f>IF(AND(ISNUMBER(F88), B88&lt;&gt;"", C88&lt;&gt;""), IF(SUMIFS($F$3:$F$102,$B$3:$B$102,B88,$C$3:$C$102,C88)&gt;ΡΥΘΜΙΣΕΙΣ!$B$8,"ΠΡΟΣΟΧΗ: ΥΠΕΡΒΑΣΗ ΧΩΡΗΤΙΚΟΤΗΤΑΣ","Σε αναμονή"), "")</f>
        <v/>
      </c>
      <c r="I88" s="18"/>
      <c r="J88" s="18"/>
    </row>
    <row r="89" spans="1:10" ht="19.5" customHeight="1" x14ac:dyDescent="0.25">
      <c r="A89" s="15">
        <v>87</v>
      </c>
      <c r="B89" s="16"/>
      <c r="C89" s="17"/>
      <c r="D89" s="18"/>
      <c r="E89" s="17"/>
      <c r="F89" s="19"/>
      <c r="G89" s="15" t="str">
        <f>IF(ISNUMBER(F89), INT((F89+ΡΥΘΜΙΣΕΙΣ!$B$5-1)/ΡΥΘΜΙΣΕΙΣ!$B$5), "")</f>
        <v/>
      </c>
      <c r="H89" s="15" t="str">
        <f>IF(AND(ISNUMBER(F89), B89&lt;&gt;"", C89&lt;&gt;""), IF(SUMIFS($F$3:$F$102,$B$3:$B$102,B89,$C$3:$C$102,C89)&gt;ΡΥΘΜΙΣΕΙΣ!$B$8,"ΠΡΟΣΟΧΗ: ΥΠΕΡΒΑΣΗ ΧΩΡΗΤΙΚΟΤΗΤΑΣ","Σε αναμονή"), "")</f>
        <v/>
      </c>
      <c r="I89" s="18"/>
      <c r="J89" s="18"/>
    </row>
    <row r="90" spans="1:10" ht="19.5" customHeight="1" x14ac:dyDescent="0.25">
      <c r="A90" s="15">
        <v>88</v>
      </c>
      <c r="B90" s="16"/>
      <c r="C90" s="17"/>
      <c r="D90" s="18"/>
      <c r="E90" s="17"/>
      <c r="F90" s="19"/>
      <c r="G90" s="15" t="str">
        <f>IF(ISNUMBER(F90), INT((F90+ΡΥΘΜΙΣΕΙΣ!$B$5-1)/ΡΥΘΜΙΣΕΙΣ!$B$5), "")</f>
        <v/>
      </c>
      <c r="H90" s="15" t="str">
        <f>IF(AND(ISNUMBER(F90), B90&lt;&gt;"", C90&lt;&gt;""), IF(SUMIFS($F$3:$F$102,$B$3:$B$102,B90,$C$3:$C$102,C90)&gt;ΡΥΘΜΙΣΕΙΣ!$B$8,"ΠΡΟΣΟΧΗ: ΥΠΕΡΒΑΣΗ ΧΩΡΗΤΙΚΟΤΗΤΑΣ","Σε αναμονή"), "")</f>
        <v/>
      </c>
      <c r="I90" s="18"/>
      <c r="J90" s="18"/>
    </row>
    <row r="91" spans="1:10" ht="19.5" customHeight="1" x14ac:dyDescent="0.25">
      <c r="A91" s="15">
        <v>89</v>
      </c>
      <c r="B91" s="16"/>
      <c r="C91" s="17"/>
      <c r="D91" s="18"/>
      <c r="E91" s="17"/>
      <c r="F91" s="19"/>
      <c r="G91" s="15" t="str">
        <f>IF(ISNUMBER(F91), INT((F91+ΡΥΘΜΙΣΕΙΣ!$B$5-1)/ΡΥΘΜΙΣΕΙΣ!$B$5), "")</f>
        <v/>
      </c>
      <c r="H91" s="15" t="str">
        <f>IF(AND(ISNUMBER(F91), B91&lt;&gt;"", C91&lt;&gt;""), IF(SUMIFS($F$3:$F$102,$B$3:$B$102,B91,$C$3:$C$102,C91)&gt;ΡΥΘΜΙΣΕΙΣ!$B$8,"ΠΡΟΣΟΧΗ: ΥΠΕΡΒΑΣΗ ΧΩΡΗΤΙΚΟΤΗΤΑΣ","Σε αναμονή"), "")</f>
        <v/>
      </c>
      <c r="I91" s="18"/>
      <c r="J91" s="18"/>
    </row>
    <row r="92" spans="1:10" ht="19.5" customHeight="1" x14ac:dyDescent="0.25">
      <c r="A92" s="15">
        <v>90</v>
      </c>
      <c r="B92" s="16"/>
      <c r="C92" s="17"/>
      <c r="D92" s="18"/>
      <c r="E92" s="17"/>
      <c r="F92" s="19"/>
      <c r="G92" s="15" t="str">
        <f>IF(ISNUMBER(F92), INT((F92+ΡΥΘΜΙΣΕΙΣ!$B$5-1)/ΡΥΘΜΙΣΕΙΣ!$B$5), "")</f>
        <v/>
      </c>
      <c r="H92" s="15" t="str">
        <f>IF(AND(ISNUMBER(F92), B92&lt;&gt;"", C92&lt;&gt;""), IF(SUMIFS($F$3:$F$102,$B$3:$B$102,B92,$C$3:$C$102,C92)&gt;ΡΥΘΜΙΣΕΙΣ!$B$8,"ΠΡΟΣΟΧΗ: ΥΠΕΡΒΑΣΗ ΧΩΡΗΤΙΚΟΤΗΤΑΣ","Σε αναμονή"), "")</f>
        <v/>
      </c>
      <c r="I92" s="18"/>
      <c r="J92" s="18"/>
    </row>
    <row r="93" spans="1:10" ht="19.5" customHeight="1" x14ac:dyDescent="0.25">
      <c r="A93" s="15">
        <v>91</v>
      </c>
      <c r="B93" s="16"/>
      <c r="C93" s="17"/>
      <c r="D93" s="18"/>
      <c r="E93" s="17"/>
      <c r="F93" s="19"/>
      <c r="G93" s="15" t="str">
        <f>IF(ISNUMBER(F93), INT((F93+ΡΥΘΜΙΣΕΙΣ!$B$5-1)/ΡΥΘΜΙΣΕΙΣ!$B$5), "")</f>
        <v/>
      </c>
      <c r="H93" s="15" t="str">
        <f>IF(AND(ISNUMBER(F93), B93&lt;&gt;"", C93&lt;&gt;""), IF(SUMIFS($F$3:$F$102,$B$3:$B$102,B93,$C$3:$C$102,C93)&gt;ΡΥΘΜΙΣΕΙΣ!$B$8,"ΠΡΟΣΟΧΗ: ΥΠΕΡΒΑΣΗ ΧΩΡΗΤΙΚΟΤΗΤΑΣ","Σε αναμονή"), "")</f>
        <v/>
      </c>
      <c r="I93" s="18"/>
      <c r="J93" s="18"/>
    </row>
    <row r="94" spans="1:10" ht="19.5" customHeight="1" x14ac:dyDescent="0.25">
      <c r="A94" s="15">
        <v>92</v>
      </c>
      <c r="B94" s="16"/>
      <c r="C94" s="17"/>
      <c r="D94" s="18"/>
      <c r="E94" s="17"/>
      <c r="F94" s="19"/>
      <c r="G94" s="15" t="str">
        <f>IF(ISNUMBER(F94), INT((F94+ΡΥΘΜΙΣΕΙΣ!$B$5-1)/ΡΥΘΜΙΣΕΙΣ!$B$5), "")</f>
        <v/>
      </c>
      <c r="H94" s="15" t="str">
        <f>IF(AND(ISNUMBER(F94), B94&lt;&gt;"", C94&lt;&gt;""), IF(SUMIFS($F$3:$F$102,$B$3:$B$102,B94,$C$3:$C$102,C94)&gt;ΡΥΘΜΙΣΕΙΣ!$B$8,"ΠΡΟΣΟΧΗ: ΥΠΕΡΒΑΣΗ ΧΩΡΗΤΙΚΟΤΗΤΑΣ","Σε αναμονή"), "")</f>
        <v/>
      </c>
      <c r="I94" s="18"/>
      <c r="J94" s="18"/>
    </row>
    <row r="95" spans="1:10" ht="19.5" customHeight="1" x14ac:dyDescent="0.25">
      <c r="A95" s="15">
        <v>93</v>
      </c>
      <c r="B95" s="16"/>
      <c r="C95" s="17"/>
      <c r="D95" s="18"/>
      <c r="E95" s="17"/>
      <c r="F95" s="19"/>
      <c r="G95" s="15" t="str">
        <f>IF(ISNUMBER(F95), INT((F95+ΡΥΘΜΙΣΕΙΣ!$B$5-1)/ΡΥΘΜΙΣΕΙΣ!$B$5), "")</f>
        <v/>
      </c>
      <c r="H95" s="15" t="str">
        <f>IF(AND(ISNUMBER(F95), B95&lt;&gt;"", C95&lt;&gt;""), IF(SUMIFS($F$3:$F$102,$B$3:$B$102,B95,$C$3:$C$102,C95)&gt;ΡΥΘΜΙΣΕΙΣ!$B$8,"ΠΡΟΣΟΧΗ: ΥΠΕΡΒΑΣΗ ΧΩΡΗΤΙΚΟΤΗΤΑΣ","Σε αναμονή"), "")</f>
        <v/>
      </c>
      <c r="I95" s="18"/>
      <c r="J95" s="18"/>
    </row>
    <row r="96" spans="1:10" ht="19.5" customHeight="1" x14ac:dyDescent="0.25">
      <c r="A96" s="15">
        <v>94</v>
      </c>
      <c r="B96" s="16"/>
      <c r="C96" s="17"/>
      <c r="D96" s="18"/>
      <c r="E96" s="17"/>
      <c r="F96" s="19"/>
      <c r="G96" s="15" t="str">
        <f>IF(ISNUMBER(F96), INT((F96+ΡΥΘΜΙΣΕΙΣ!$B$5-1)/ΡΥΘΜΙΣΕΙΣ!$B$5), "")</f>
        <v/>
      </c>
      <c r="H96" s="15" t="str">
        <f>IF(AND(ISNUMBER(F96), B96&lt;&gt;"", C96&lt;&gt;""), IF(SUMIFS($F$3:$F$102,$B$3:$B$102,B96,$C$3:$C$102,C96)&gt;ΡΥΘΜΙΣΕΙΣ!$B$8,"ΠΡΟΣΟΧΗ: ΥΠΕΡΒΑΣΗ ΧΩΡΗΤΙΚΟΤΗΤΑΣ","Σε αναμονή"), "")</f>
        <v/>
      </c>
      <c r="I96" s="18"/>
      <c r="J96" s="18"/>
    </row>
    <row r="97" spans="1:10" ht="19.5" customHeight="1" x14ac:dyDescent="0.25">
      <c r="A97" s="15">
        <v>95</v>
      </c>
      <c r="B97" s="16"/>
      <c r="C97" s="17"/>
      <c r="D97" s="18"/>
      <c r="E97" s="17"/>
      <c r="F97" s="19"/>
      <c r="G97" s="15" t="str">
        <f>IF(ISNUMBER(F97), INT((F97+ΡΥΘΜΙΣΕΙΣ!$B$5-1)/ΡΥΘΜΙΣΕΙΣ!$B$5), "")</f>
        <v/>
      </c>
      <c r="H97" s="15" t="str">
        <f>IF(AND(ISNUMBER(F97), B97&lt;&gt;"", C97&lt;&gt;""), IF(SUMIFS($F$3:$F$102,$B$3:$B$102,B97,$C$3:$C$102,C97)&gt;ΡΥΘΜΙΣΕΙΣ!$B$8,"ΠΡΟΣΟΧΗ: ΥΠΕΡΒΑΣΗ ΧΩΡΗΤΙΚΟΤΗΤΑΣ","Σε αναμονή"), "")</f>
        <v/>
      </c>
      <c r="I97" s="18"/>
      <c r="J97" s="18"/>
    </row>
    <row r="98" spans="1:10" ht="19.5" customHeight="1" x14ac:dyDescent="0.25">
      <c r="A98" s="15">
        <v>96</v>
      </c>
      <c r="B98" s="16"/>
      <c r="C98" s="17"/>
      <c r="D98" s="18"/>
      <c r="E98" s="17"/>
      <c r="F98" s="19"/>
      <c r="G98" s="15" t="str">
        <f>IF(ISNUMBER(F98), INT((F98+ΡΥΘΜΙΣΕΙΣ!$B$5-1)/ΡΥΘΜΙΣΕΙΣ!$B$5), "")</f>
        <v/>
      </c>
      <c r="H98" s="15" t="str">
        <f>IF(AND(ISNUMBER(F98), B98&lt;&gt;"", C98&lt;&gt;""), IF(SUMIFS($F$3:$F$102,$B$3:$B$102,B98,$C$3:$C$102,C98)&gt;ΡΥΘΜΙΣΕΙΣ!$B$8,"ΠΡΟΣΟΧΗ: ΥΠΕΡΒΑΣΗ ΧΩΡΗΤΙΚΟΤΗΤΑΣ","Σε αναμονή"), "")</f>
        <v/>
      </c>
      <c r="I98" s="18"/>
      <c r="J98" s="18"/>
    </row>
    <row r="99" spans="1:10" ht="19.5" customHeight="1" x14ac:dyDescent="0.25">
      <c r="A99" s="15">
        <v>97</v>
      </c>
      <c r="B99" s="16"/>
      <c r="C99" s="17"/>
      <c r="D99" s="18"/>
      <c r="E99" s="17"/>
      <c r="F99" s="19"/>
      <c r="G99" s="15" t="str">
        <f>IF(ISNUMBER(F99), INT((F99+ΡΥΘΜΙΣΕΙΣ!$B$5-1)/ΡΥΘΜΙΣΕΙΣ!$B$5), "")</f>
        <v/>
      </c>
      <c r="H99" s="15" t="str">
        <f>IF(AND(ISNUMBER(F99), B99&lt;&gt;"", C99&lt;&gt;""), IF(SUMIFS($F$3:$F$102,$B$3:$B$102,B99,$C$3:$C$102,C99)&gt;ΡΥΘΜΙΣΕΙΣ!$B$8,"ΠΡΟΣΟΧΗ: ΥΠΕΡΒΑΣΗ ΧΩΡΗΤΙΚΟΤΗΤΑΣ","Σε αναμονή"), "")</f>
        <v/>
      </c>
      <c r="I99" s="18"/>
      <c r="J99" s="18"/>
    </row>
    <row r="100" spans="1:10" ht="19.5" customHeight="1" x14ac:dyDescent="0.25">
      <c r="A100" s="15">
        <v>98</v>
      </c>
      <c r="B100" s="16"/>
      <c r="C100" s="17"/>
      <c r="D100" s="18"/>
      <c r="E100" s="17"/>
      <c r="F100" s="19"/>
      <c r="G100" s="15" t="str">
        <f>IF(ISNUMBER(F100), INT((F100+ΡΥΘΜΙΣΕΙΣ!$B$5-1)/ΡΥΘΜΙΣΕΙΣ!$B$5), "")</f>
        <v/>
      </c>
      <c r="H100" s="15" t="str">
        <f>IF(AND(ISNUMBER(F100), B100&lt;&gt;"", C100&lt;&gt;""), IF(SUMIFS($F$3:$F$102,$B$3:$B$102,B100,$C$3:$C$102,C100)&gt;ΡΥΘΜΙΣΕΙΣ!$B$8,"ΠΡΟΣΟΧΗ: ΥΠΕΡΒΑΣΗ ΧΩΡΗΤΙΚΟΤΗΤΑΣ","Σε αναμονή"), "")</f>
        <v/>
      </c>
      <c r="I100" s="18"/>
      <c r="J100" s="18"/>
    </row>
    <row r="101" spans="1:10" ht="19.5" customHeight="1" x14ac:dyDescent="0.25">
      <c r="A101" s="15">
        <v>99</v>
      </c>
      <c r="B101" s="16"/>
      <c r="C101" s="17"/>
      <c r="D101" s="18"/>
      <c r="E101" s="17"/>
      <c r="F101" s="19"/>
      <c r="G101" s="15" t="str">
        <f>IF(ISNUMBER(F101), INT((F101+ΡΥΘΜΙΣΕΙΣ!$B$5-1)/ΡΥΘΜΙΣΕΙΣ!$B$5), "")</f>
        <v/>
      </c>
      <c r="H101" s="15" t="str">
        <f>IF(AND(ISNUMBER(F101), B101&lt;&gt;"", C101&lt;&gt;""), IF(SUMIFS($F$3:$F$102,$B$3:$B$102,B101,$C$3:$C$102,C101)&gt;ΡΥΘΜΙΣΕΙΣ!$B$8,"ΠΡΟΣΟΧΗ: ΥΠΕΡΒΑΣΗ ΧΩΡΗΤΙΚΟΤΗΤΑΣ","Σε αναμονή"), "")</f>
        <v/>
      </c>
      <c r="I101" s="18"/>
      <c r="J101" s="18"/>
    </row>
    <row r="102" spans="1:10" ht="19.5" customHeight="1" x14ac:dyDescent="0.25">
      <c r="A102" s="15">
        <v>100</v>
      </c>
      <c r="B102" s="16"/>
      <c r="C102" s="17"/>
      <c r="D102" s="18"/>
      <c r="E102" s="17"/>
      <c r="F102" s="19"/>
      <c r="G102" s="15" t="str">
        <f>IF(ISNUMBER(F102), INT((F102+ΡΥΘΜΙΣΕΙΣ!$B$5-1)/ΡΥΘΜΙΣΕΙΣ!$B$5), "")</f>
        <v/>
      </c>
      <c r="H102" s="15" t="str">
        <f>IF(AND(ISNUMBER(F102), B102&lt;&gt;"", C102&lt;&gt;""), IF(SUMIFS($F$3:$F$102,$B$3:$B$102,B102,$C$3:$C$102,C102)&gt;ΡΥΘΜΙΣΕΙΣ!$B$8,"ΠΡΟΣΟΧΗ: ΥΠΕΡΒΑΣΗ ΧΩΡΗΤΙΚΟΤΗΤΑΣ","Σε αναμονή"), "")</f>
        <v/>
      </c>
      <c r="I102" s="18"/>
      <c r="J102" s="18"/>
    </row>
  </sheetData>
  <sortState xmlns:xlrd2="http://schemas.microsoft.com/office/spreadsheetml/2017/richdata2" ref="B3:J102">
    <sortCondition ref="B3"/>
    <sortCondition ref="C3"/>
  </sortState>
  <mergeCells count="1">
    <mergeCell ref="A1:J1"/>
  </mergeCells>
  <conditionalFormatting sqref="H3:H102">
    <cfRule type="cellIs" dxfId="13" priority="2" operator="equal">
      <formula>"Σε αναμονή"</formula>
    </cfRule>
    <cfRule type="cellIs" dxfId="12" priority="3" operator="equal">
      <formula>"Έφτασε"</formula>
    </cfRule>
    <cfRule type="cellIs" dxfId="11" priority="4" operator="equal">
      <formula>"Σε επεξεργασία"</formula>
    </cfRule>
    <cfRule type="cellIs" dxfId="10" priority="5" operator="equal">
      <formula>"Ολοκληρώθηκε"</formula>
    </cfRule>
    <cfRule type="cellIs" dxfId="9" priority="6" operator="equal">
      <formula>"Ακυρώθηκε"</formula>
    </cfRule>
    <cfRule type="cellIs" dxfId="8" priority="7" operator="equal">
      <formula>"ΠΡΟΣΟΧΗ: ΥΠΕΡΒΑΣΗ ΧΩΡΗΤΙΚΟΤΗΤΑΣ"</formula>
    </cfRule>
  </conditionalFormatting>
  <pageMargins left="0.75" right="0.75" top="1" bottom="1" header="0.511811023622047" footer="0.511811023622047"/>
  <pageSetup paperSize="9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xr:uid="{00000000-0002-0000-0000-000000000000}">
          <x14:formula1>
            <xm:f>ΡΥΘΜΙΣΕΙΣ!$A$14:$A$25</xm:f>
          </x14:formula1>
          <x14:formula2>
            <xm:f>0</xm:f>
          </x14:formula2>
          <xm:sqref>C3:C102</xm:sqref>
        </x14:dataValidation>
        <x14:dataValidation type="list" allowBlank="1" xr:uid="{00000000-0002-0000-0000-000001000000}">
          <x14:formula1>
            <xm:f>ΡΥΘΜΙΣΕΙΣ!$C$14:$C$18</xm:f>
          </x14:formula1>
          <x14:formula2>
            <xm:f>0</xm:f>
          </x14:formula2>
          <xm:sqref>H3:H102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orksheet_____2"/>
  <dimension ref="A1:G17"/>
  <sheetViews>
    <sheetView zoomScaleNormal="100" workbookViewId="0">
      <selection activeCell="D6" sqref="D6"/>
    </sheetView>
  </sheetViews>
  <sheetFormatPr defaultColWidth="8.7109375" defaultRowHeight="15" x14ac:dyDescent="0.25"/>
  <cols>
    <col min="1" max="1" width="20" customWidth="1"/>
    <col min="2" max="2" width="18" customWidth="1"/>
    <col min="3" max="3" width="20" customWidth="1"/>
    <col min="4" max="4" width="26" customWidth="1"/>
    <col min="5" max="5" width="22" customWidth="1"/>
    <col min="6" max="6" width="24" customWidth="1"/>
    <col min="7" max="7" width="30" customWidth="1"/>
  </cols>
  <sheetData>
    <row r="1" spans="1:7" ht="20.25" customHeight="1" x14ac:dyDescent="0.25">
      <c r="A1" s="13" t="s">
        <v>16</v>
      </c>
      <c r="B1" s="13"/>
      <c r="C1" s="13"/>
      <c r="D1" s="13"/>
      <c r="E1" s="13"/>
      <c r="F1" s="13"/>
    </row>
    <row r="2" spans="1:7" ht="53.25" customHeight="1" x14ac:dyDescent="0.25">
      <c r="A2" s="20" t="s">
        <v>17</v>
      </c>
      <c r="B2" s="21">
        <v>46311</v>
      </c>
      <c r="D2" s="22"/>
      <c r="E2" s="22" t="s">
        <v>18</v>
      </c>
    </row>
    <row r="4" spans="1:7" ht="24.75" customHeight="1" x14ac:dyDescent="0.25">
      <c r="A4" s="14" t="s">
        <v>19</v>
      </c>
      <c r="B4" s="14" t="s">
        <v>20</v>
      </c>
      <c r="C4" s="14" t="s">
        <v>21</v>
      </c>
      <c r="D4" s="14" t="s">
        <v>22</v>
      </c>
      <c r="E4" s="14" t="s">
        <v>23</v>
      </c>
      <c r="F4" s="14" t="s">
        <v>24</v>
      </c>
      <c r="G4" s="14" t="s">
        <v>25</v>
      </c>
    </row>
    <row r="5" spans="1:7" ht="24" customHeight="1" x14ac:dyDescent="0.25">
      <c r="A5" s="23" t="s">
        <v>26</v>
      </c>
      <c r="B5" s="24">
        <f>COUNTIFS(ΡΑΝΤΕΒΟΥ!$B$3:$B$102, $B$2, ΡΑΝΤΕΒΟΥ!$C$3:$C$102, "00:00", ΡΑΝΤΕΒΟΥ!$H$3:$H$102, "&lt;&gt;Ακυρώθηκε")</f>
        <v>0</v>
      </c>
      <c r="C5" s="25">
        <f>SUMIFS(ΡΑΝΤΕΒΟΥ!$F$3:$F$102, ΡΑΝΤΕΒΟΥ!$B$3:$B$102, $B$2, ΡΑΝΤΕΒΟΥ!$C$3:$C$102, "00:00", ΡΑΝΤΕΒΟΥ!$H$3:$H$102, "&lt;&gt;Ακυρώθηκε")</f>
        <v>0</v>
      </c>
      <c r="D5" s="25">
        <f>MAX(0, ΡΥΘΜΙΣΕΙΣ!$B$8 - C5)</f>
        <v>4200</v>
      </c>
      <c r="E5" s="15">
        <f>IF(C5&gt;0, INT((C5+ΡΥΘΜΙΣΕΙΣ!$B$5-1)/ΡΥΘΜΙΣΕΙΣ!$B$5), 0)</f>
        <v>0</v>
      </c>
      <c r="F5" s="26">
        <f>C5/ΡΥΘΜΙΣΕΙΣ!$B$8</f>
        <v>0</v>
      </c>
      <c r="G5" s="15" t="str">
        <f>IF(C5&gt;ΡΥΘΜΙΣΕΙΣ!$B$8, "ΥΠΕΡΒΑΣΗ ΧΩΡΗΤΙΚΟΤΗΤΑΣ", "ΚΑΝΟΝΙΚΟ")</f>
        <v>ΚΑΝΟΝΙΚΟ</v>
      </c>
    </row>
    <row r="6" spans="1:7" ht="24" customHeight="1" x14ac:dyDescent="0.25">
      <c r="A6" s="23" t="s">
        <v>27</v>
      </c>
      <c r="B6" s="24">
        <f>COUNTIFS(ΡΑΝΤΕΒΟΥ!$B$3:$B$102, $B$2, ΡΑΝΤΕΒΟΥ!$C$3:$C$102, "02:00", ΡΑΝΤΕΒΟΥ!$H$3:$H$102, "&lt;&gt;Ακυρώθηκε")</f>
        <v>0</v>
      </c>
      <c r="C6" s="25">
        <f>SUMIFS(ΡΑΝΤΕΒΟΥ!$F$3:$F$102, ΡΑΝΤΕΒΟΥ!$B$3:$B$102, $B$2, ΡΑΝΤΕΒΟΥ!$C$3:$C$102, "02:00", ΡΑΝΤΕΒΟΥ!$H$3:$H$102, "&lt;&gt;Ακυρώθηκε")</f>
        <v>0</v>
      </c>
      <c r="D6" s="25">
        <f>MAX(0, ΡΥΘΜΙΣΕΙΣ!$B$8 - C6)</f>
        <v>4200</v>
      </c>
      <c r="E6" s="15">
        <f>IF(C6&gt;0, INT((C6+ΡΥΘΜΙΣΕΙΣ!$B$5-1)/ΡΥΘΜΙΣΕΙΣ!$B$5), 0)</f>
        <v>0</v>
      </c>
      <c r="F6" s="26">
        <f>C6/ΡΥΘΜΙΣΕΙΣ!$B$8</f>
        <v>0</v>
      </c>
      <c r="G6" s="15" t="str">
        <f>IF(C6&gt;ΡΥΘΜΙΣΕΙΣ!$B$8, "ΥΠΕΡΒΑΣΗ ΧΩΡΗΤΙΚΟΤΗΤΑΣ", "ΚΑΝΟΝΙΚΟ")</f>
        <v>ΚΑΝΟΝΙΚΟ</v>
      </c>
    </row>
    <row r="7" spans="1:7" ht="24" customHeight="1" x14ac:dyDescent="0.25">
      <c r="A7" s="23" t="s">
        <v>28</v>
      </c>
      <c r="B7" s="24">
        <f>COUNTIFS(ΡΑΝΤΕΒΟΥ!$B$3:$B$102, $B$2, ΡΑΝΤΕΒΟΥ!$C$3:$C$102, "04:00", ΡΑΝΤΕΒΟΥ!$H$3:$H$102, "&lt;&gt;Ακυρώθηκε")</f>
        <v>0</v>
      </c>
      <c r="C7" s="25">
        <f>SUMIFS(ΡΑΝΤΕΒΟΥ!$F$3:$F$102, ΡΑΝΤΕΒΟΥ!$B$3:$B$102, $B$2, ΡΑΝΤΕΒΟΥ!$C$3:$C$102, "04:00", ΡΑΝΤΕΒΟΥ!$H$3:$H$102, "&lt;&gt;Ακυρώθηκε")</f>
        <v>0</v>
      </c>
      <c r="D7" s="25">
        <f>MAX(0, ΡΥΘΜΙΣΕΙΣ!$B$8 - C7)</f>
        <v>4200</v>
      </c>
      <c r="E7" s="15">
        <f>IF(C7&gt;0, INT((C7+ΡΥΘΜΙΣΕΙΣ!$B$5-1)/ΡΥΘΜΙΣΕΙΣ!$B$5), 0)</f>
        <v>0</v>
      </c>
      <c r="F7" s="26">
        <f>C7/ΡΥΘΜΙΣΕΙΣ!$B$8</f>
        <v>0</v>
      </c>
      <c r="G7" s="15" t="str">
        <f>IF(C7&gt;ΡΥΘΜΙΣΕΙΣ!$B$8, "ΥΠΕΡΒΑΣΗ ΧΩΡΗΤΙΚΟΤΗΤΑΣ", "ΚΑΝΟΝΙΚΟ")</f>
        <v>ΚΑΝΟΝΙΚΟ</v>
      </c>
    </row>
    <row r="8" spans="1:7" ht="24" customHeight="1" x14ac:dyDescent="0.25">
      <c r="A8" s="23" t="s">
        <v>29</v>
      </c>
      <c r="B8" s="24">
        <f>COUNTIFS(ΡΑΝΤΕΒΟΥ!$B$3:$B$102, $B$2, ΡΑΝΤΕΒΟΥ!$C$3:$C$102, "06:00", ΡΑΝΤΕΒΟΥ!$H$3:$H$102, "&lt;&gt;Ακυρώθηκε")</f>
        <v>0</v>
      </c>
      <c r="C8" s="25">
        <f>SUMIFS(ΡΑΝΤΕΒΟΥ!$F$3:$F$102, ΡΑΝΤΕΒΟΥ!$B$3:$B$102, $B$2, ΡΑΝΤΕΒΟΥ!$C$3:$C$102, "06:00", ΡΑΝΤΕΒΟΥ!$H$3:$H$102, "&lt;&gt;Ακυρώθηκε")</f>
        <v>0</v>
      </c>
      <c r="D8" s="25">
        <f>MAX(0, ΡΥΘΜΙΣΕΙΣ!$B$8 - C8)</f>
        <v>4200</v>
      </c>
      <c r="E8" s="15">
        <f>IF(C8&gt;0, INT((C8+ΡΥΘΜΙΣΕΙΣ!$B$5-1)/ΡΥΘΜΙΣΕΙΣ!$B$5), 0)</f>
        <v>0</v>
      </c>
      <c r="F8" s="26">
        <f>C8/ΡΥΘΜΙΣΕΙΣ!$B$8</f>
        <v>0</v>
      </c>
      <c r="G8" s="15" t="str">
        <f>IF(C8&gt;ΡΥΘΜΙΣΕΙΣ!$B$8, "ΥΠΕΡΒΑΣΗ ΧΩΡΗΤΙΚΟΤΗΤΑΣ", "ΚΑΝΟΝΙΚΟ")</f>
        <v>ΚΑΝΟΝΙΚΟ</v>
      </c>
    </row>
    <row r="9" spans="1:7" ht="24" customHeight="1" x14ac:dyDescent="0.25">
      <c r="A9" s="23" t="s">
        <v>30</v>
      </c>
      <c r="B9" s="24">
        <f>COUNTIFS(ΡΑΝΤΕΒΟΥ!$B$3:$B$102, $B$2, ΡΑΝΤΕΒΟΥ!$C$3:$C$102, "08:00", ΡΑΝΤΕΒΟΥ!$H$3:$H$102, "&lt;&gt;Ακυρώθηκε")</f>
        <v>2</v>
      </c>
      <c r="C9" s="25">
        <f>SUMIFS(ΡΑΝΤΕΒΟΥ!$F$3:$F$102, ΡΑΝΤΕΒΟΥ!$B$3:$B$102, $B$2, ΡΑΝΤΕΒΟΥ!$C$3:$C$102, "08:00", ΡΑΝΤΕΒΟΥ!$H$3:$H$102, "&lt;&gt;Ακυρώθηκε")</f>
        <v>3000</v>
      </c>
      <c r="D9" s="25">
        <f>MAX(0, ΡΥΘΜΙΣΕΙΣ!$B$8 - C9)</f>
        <v>1200</v>
      </c>
      <c r="E9" s="15">
        <f>IF(C9&gt;0, INT((C9+ΡΥΘΜΙΣΕΙΣ!$B$5-1)/ΡΥΘΜΙΣΕΙΣ!$B$5), 0)</f>
        <v>5</v>
      </c>
      <c r="F9" s="26">
        <f>C9/ΡΥΘΜΙΣΕΙΣ!$B$8</f>
        <v>0.7142857142857143</v>
      </c>
      <c r="G9" s="15" t="str">
        <f>IF(C9&gt;ΡΥΘΜΙΣΕΙΣ!$B$8, "ΥΠΕΡΒΑΣΗ ΧΩΡΗΤΙΚΟΤΗΤΑΣ", "ΚΑΝΟΝΙΚΟ")</f>
        <v>ΚΑΝΟΝΙΚΟ</v>
      </c>
    </row>
    <row r="10" spans="1:7" ht="24" customHeight="1" x14ac:dyDescent="0.25">
      <c r="A10" s="23" t="s">
        <v>31</v>
      </c>
      <c r="B10" s="24">
        <f>COUNTIFS(ΡΑΝΤΕΒΟΥ!$B$3:$B$102, $B$2, ΡΑΝΤΕΒΟΥ!$C$3:$C$102, "10:00", ΡΑΝΤΕΒΟΥ!$H$3:$H$102, "&lt;&gt;Ακυρώθηκε")</f>
        <v>0</v>
      </c>
      <c r="C10" s="25">
        <f>SUMIFS(ΡΑΝΤΕΒΟΥ!$F$3:$F$102, ΡΑΝΤΕΒΟΥ!$B$3:$B$102, $B$2, ΡΑΝΤΕΒΟΥ!$C$3:$C$102, "10:00", ΡΑΝΤΕΒΟΥ!$H$3:$H$102, "&lt;&gt;Ακυρώθηκε")</f>
        <v>0</v>
      </c>
      <c r="D10" s="25">
        <f>MAX(0, ΡΥΘΜΙΣΕΙΣ!$B$8 - C10)</f>
        <v>4200</v>
      </c>
      <c r="E10" s="15">
        <f>IF(C10&gt;0, INT((C10+ΡΥΘΜΙΣΕΙΣ!$B$5-1)/ΡΥΘΜΙΣΕΙΣ!$B$5), 0)</f>
        <v>0</v>
      </c>
      <c r="F10" s="26">
        <f>C10/ΡΥΘΜΙΣΕΙΣ!$B$8</f>
        <v>0</v>
      </c>
      <c r="G10" s="15" t="str">
        <f>IF(C10&gt;ΡΥΘΜΙΣΕΙΣ!$B$8, "ΥΠΕΡΒΑΣΗ ΧΩΡΗΤΙΚΟΤΗΤΑΣ", "ΚΑΝΟΝΙΚΟ")</f>
        <v>ΚΑΝΟΝΙΚΟ</v>
      </c>
    </row>
    <row r="11" spans="1:7" ht="24" customHeight="1" x14ac:dyDescent="0.25">
      <c r="A11" s="23" t="s">
        <v>32</v>
      </c>
      <c r="B11" s="24">
        <f>COUNTIFS(ΡΑΝΤΕΒΟΥ!$B$3:$B$102, $B$2, ΡΑΝΤΕΒΟΥ!$C$3:$C$102, "12:00", ΡΑΝΤΕΒΟΥ!$H$3:$H$102, "&lt;&gt;Ακυρώθηκε")</f>
        <v>1</v>
      </c>
      <c r="C11" s="25">
        <f>SUMIFS(ΡΑΝΤΕΒΟΥ!$F$3:$F$102, ΡΑΝΤΕΒΟΥ!$B$3:$B$102, $B$2, ΡΑΝΤΕΒΟΥ!$C$3:$C$102, "12:00", ΡΑΝΤΕΒΟΥ!$H$3:$H$102, "&lt;&gt;Ακυρώθηκε")</f>
        <v>1000</v>
      </c>
      <c r="D11" s="25">
        <f>MAX(0, ΡΥΘΜΙΣΕΙΣ!$B$8 - C11)</f>
        <v>3200</v>
      </c>
      <c r="E11" s="15">
        <f>IF(C11&gt;0, INT((C11+ΡΥΘΜΙΣΕΙΣ!$B$5-1)/ΡΥΘΜΙΣΕΙΣ!$B$5), 0)</f>
        <v>2</v>
      </c>
      <c r="F11" s="26">
        <f>C11/ΡΥΘΜΙΣΕΙΣ!$B$8</f>
        <v>0.23809523809523808</v>
      </c>
      <c r="G11" s="15" t="str">
        <f>IF(C11&gt;ΡΥΘΜΙΣΕΙΣ!$B$8, "ΥΠΕΡΒΑΣΗ ΧΩΡΗΤΙΚΟΤΗΤΑΣ", "ΚΑΝΟΝΙΚΟ")</f>
        <v>ΚΑΝΟΝΙΚΟ</v>
      </c>
    </row>
    <row r="12" spans="1:7" ht="24" customHeight="1" x14ac:dyDescent="0.25">
      <c r="A12" s="23" t="s">
        <v>33</v>
      </c>
      <c r="B12" s="24">
        <f>COUNTIFS(ΡΑΝΤΕΒΟΥ!$B$3:$B$102, $B$2, ΡΑΝΤΕΒΟΥ!$C$3:$C$102, "14:00", ΡΑΝΤΕΒΟΥ!$H$3:$H$102, "&lt;&gt;Ακυρώθηκε")</f>
        <v>0</v>
      </c>
      <c r="C12" s="25">
        <f>SUMIFS(ΡΑΝΤΕΒΟΥ!$F$3:$F$102, ΡΑΝΤΕΒΟΥ!$B$3:$B$102, $B$2, ΡΑΝΤΕΒΟΥ!$C$3:$C$102, "14:00", ΡΑΝΤΕΒΟΥ!$H$3:$H$102, "&lt;&gt;Ακυρώθηκε")</f>
        <v>0</v>
      </c>
      <c r="D12" s="25">
        <f>MAX(0, ΡΥΘΜΙΣΕΙΣ!$B$8 - C12)</f>
        <v>4200</v>
      </c>
      <c r="E12" s="15">
        <f>IF(C12&gt;0, INT((C12+ΡΥΘΜΙΣΕΙΣ!$B$5-1)/ΡΥΘΜΙΣΕΙΣ!$B$5), 0)</f>
        <v>0</v>
      </c>
      <c r="F12" s="26">
        <f>C12/ΡΥΘΜΙΣΕΙΣ!$B$8</f>
        <v>0</v>
      </c>
      <c r="G12" s="15" t="str">
        <f>IF(C12&gt;ΡΥΘΜΙΣΕΙΣ!$B$8, "ΥΠΕΡΒΑΣΗ ΧΩΡΗΤΙΚΟΤΗΤΑΣ", "ΚΑΝΟΝΙΚΟ")</f>
        <v>ΚΑΝΟΝΙΚΟ</v>
      </c>
    </row>
    <row r="13" spans="1:7" ht="24" customHeight="1" x14ac:dyDescent="0.25">
      <c r="A13" s="23" t="s">
        <v>34</v>
      </c>
      <c r="B13" s="24">
        <f>COUNTIFS(ΡΑΝΤΕΒΟΥ!$B$3:$B$102, $B$2, ΡΑΝΤΕΒΟΥ!$C$3:$C$102, "16:00", ΡΑΝΤΕΒΟΥ!$H$3:$H$102, "&lt;&gt;Ακυρώθηκε")</f>
        <v>0</v>
      </c>
      <c r="C13" s="25">
        <f>SUMIFS(ΡΑΝΤΕΒΟΥ!$F$3:$F$102, ΡΑΝΤΕΒΟΥ!$B$3:$B$102, $B$2, ΡΑΝΤΕΒΟΥ!$C$3:$C$102, "16:00", ΡΑΝΤΕΒΟΥ!$H$3:$H$102, "&lt;&gt;Ακυρώθηκε")</f>
        <v>0</v>
      </c>
      <c r="D13" s="25">
        <f>MAX(0, ΡΥΘΜΙΣΕΙΣ!$B$8 - C13)</f>
        <v>4200</v>
      </c>
      <c r="E13" s="15">
        <f>IF(C13&gt;0, INT((C13+ΡΥΘΜΙΣΕΙΣ!$B$5-1)/ΡΥΘΜΙΣΕΙΣ!$B$5), 0)</f>
        <v>0</v>
      </c>
      <c r="F13" s="26">
        <f>C13/ΡΥΘΜΙΣΕΙΣ!$B$8</f>
        <v>0</v>
      </c>
      <c r="G13" s="15" t="str">
        <f>IF(C13&gt;ΡΥΘΜΙΣΕΙΣ!$B$8, "ΥΠΕΡΒΑΣΗ ΧΩΡΗΤΙΚΟΤΗΤΑΣ", "ΚΑΝΟΝΙΚΟ")</f>
        <v>ΚΑΝΟΝΙΚΟ</v>
      </c>
    </row>
    <row r="14" spans="1:7" ht="24" customHeight="1" x14ac:dyDescent="0.25">
      <c r="A14" s="23" t="s">
        <v>35</v>
      </c>
      <c r="B14" s="24">
        <f>COUNTIFS(ΡΑΝΤΕΒΟΥ!$B$3:$B$102, $B$2, ΡΑΝΤΕΒΟΥ!$C$3:$C$102, "18:00", ΡΑΝΤΕΒΟΥ!$H$3:$H$102, "&lt;&gt;Ακυρώθηκε")</f>
        <v>0</v>
      </c>
      <c r="C14" s="25">
        <f>SUMIFS(ΡΑΝΤΕΒΟΥ!$F$3:$F$102, ΡΑΝΤΕΒΟΥ!$B$3:$B$102, $B$2, ΡΑΝΤΕΒΟΥ!$C$3:$C$102, "18:00", ΡΑΝΤΕΒΟΥ!$H$3:$H$102, "&lt;&gt;Ακυρώθηκε")</f>
        <v>0</v>
      </c>
      <c r="D14" s="25">
        <f>MAX(0, ΡΥΘΜΙΣΕΙΣ!$B$8 - C14)</f>
        <v>4200</v>
      </c>
      <c r="E14" s="15">
        <f>IF(C14&gt;0, INT((C14+ΡΥΘΜΙΣΕΙΣ!$B$5-1)/ΡΥΘΜΙΣΕΙΣ!$B$5), 0)</f>
        <v>0</v>
      </c>
      <c r="F14" s="26">
        <f>C14/ΡΥΘΜΙΣΕΙΣ!$B$8</f>
        <v>0</v>
      </c>
      <c r="G14" s="15" t="str">
        <f>IF(C14&gt;ΡΥΘΜΙΣΕΙΣ!$B$8, "ΥΠΕΡΒΑΣΗ ΧΩΡΗΤΙΚΟΤΗΤΑΣ", "ΚΑΝΟΝΙΚΟ")</f>
        <v>ΚΑΝΟΝΙΚΟ</v>
      </c>
    </row>
    <row r="15" spans="1:7" ht="24" customHeight="1" x14ac:dyDescent="0.25">
      <c r="A15" s="23" t="s">
        <v>36</v>
      </c>
      <c r="B15" s="24">
        <f>COUNTIFS(ΡΑΝΤΕΒΟΥ!$B$3:$B$102, $B$2, ΡΑΝΤΕΒΟΥ!$C$3:$C$102, "20:00", ΡΑΝΤΕΒΟΥ!$H$3:$H$102, "&lt;&gt;Ακυρώθηκε")</f>
        <v>0</v>
      </c>
      <c r="C15" s="25">
        <f>SUMIFS(ΡΑΝΤΕΒΟΥ!$F$3:$F$102, ΡΑΝΤΕΒΟΥ!$B$3:$B$102, $B$2, ΡΑΝΤΕΒΟΥ!$C$3:$C$102, "20:00", ΡΑΝΤΕΒΟΥ!$H$3:$H$102, "&lt;&gt;Ακυρώθηκε")</f>
        <v>0</v>
      </c>
      <c r="D15" s="25">
        <f>MAX(0, ΡΥΘΜΙΣΕΙΣ!$B$8 - C15)</f>
        <v>4200</v>
      </c>
      <c r="E15" s="15">
        <f>IF(C15&gt;0, INT((C15+ΡΥΘΜΙΣΕΙΣ!$B$5-1)/ΡΥΘΜΙΣΕΙΣ!$B$5), 0)</f>
        <v>0</v>
      </c>
      <c r="F15" s="26">
        <f>C15/ΡΥΘΜΙΣΕΙΣ!$B$8</f>
        <v>0</v>
      </c>
      <c r="G15" s="15" t="str">
        <f>IF(C15&gt;ΡΥΘΜΙΣΕΙΣ!$B$8, "ΥΠΕΡΒΑΣΗ ΧΩΡΗΤΙΚΟΤΗΤΑΣ", "ΚΑΝΟΝΙΚΟ")</f>
        <v>ΚΑΝΟΝΙΚΟ</v>
      </c>
    </row>
    <row r="16" spans="1:7" ht="24" customHeight="1" x14ac:dyDescent="0.25">
      <c r="A16" s="23" t="s">
        <v>37</v>
      </c>
      <c r="B16" s="24">
        <f>COUNTIFS(ΡΑΝΤΕΒΟΥ!$B$3:$B$102, $B$2, ΡΑΝΤΕΒΟΥ!$C$3:$C$102, "22:00", ΡΑΝΤΕΒΟΥ!$H$3:$H$102, "&lt;&gt;Ακυρώθηκε")</f>
        <v>0</v>
      </c>
      <c r="C16" s="25">
        <f>SUMIFS(ΡΑΝΤΕΒΟΥ!$F$3:$F$102, ΡΑΝΤΕΒΟΥ!$B$3:$B$102, $B$2, ΡΑΝΤΕΒΟΥ!$C$3:$C$102, "22:00", ΡΑΝΤΕΒΟΥ!$H$3:$H$102, "&lt;&gt;Ακυρώθηκε")</f>
        <v>0</v>
      </c>
      <c r="D16" s="25">
        <f>MAX(0, ΡΥΘΜΙΣΕΙΣ!$B$8 - C16)</f>
        <v>4200</v>
      </c>
      <c r="E16" s="15">
        <f>IF(C16&gt;0, INT((C16+ΡΥΘΜΙΣΕΙΣ!$B$5-1)/ΡΥΘΜΙΣΕΙΣ!$B$5), 0)</f>
        <v>0</v>
      </c>
      <c r="F16" s="26">
        <f>C16/ΡΥΘΜΙΣΕΙΣ!$B$8</f>
        <v>0</v>
      </c>
      <c r="G16" s="15" t="str">
        <f>IF(C16&gt;ΡΥΘΜΙΣΕΙΣ!$B$8, "ΥΠΕΡΒΑΣΗ ΧΩΡΗΤΙΚΟΤΗΤΑΣ", "ΚΑΝΟΝΙΚΟ")</f>
        <v>ΚΑΝΟΝΙΚΟ</v>
      </c>
    </row>
    <row r="17" spans="1:7" ht="24.75" customHeight="1" x14ac:dyDescent="0.25">
      <c r="A17" s="27" t="s">
        <v>38</v>
      </c>
      <c r="B17" s="15">
        <f>SUM(B5:B16)</f>
        <v>3</v>
      </c>
      <c r="C17" s="28">
        <f>SUM(C5:C16)</f>
        <v>4000</v>
      </c>
      <c r="D17" s="28">
        <f>MAX(0, ΡΥΘΜΙΣΕΙΣ!$B$10 - C17)</f>
        <v>46400</v>
      </c>
      <c r="E17" s="15">
        <f>SUM(E5:E16)</f>
        <v>7</v>
      </c>
      <c r="F17" s="29">
        <f>C17/ΡΥΘΜΙΣΕΙΣ!$B$10</f>
        <v>7.9365079365079361E-2</v>
      </c>
      <c r="G17" s="15" t="str">
        <f>IF(C17&gt;ΡΥΘΜΙΣΕΙΣ!$B$10, "ΥΠΕΡΒΑΣΗ ΧΩΡΗΤΙΚΟΤΗΤΑΣ", "ΚΑΝΟΝΙΚΟ")</f>
        <v>ΚΑΝΟΝΙΚΟ</v>
      </c>
    </row>
  </sheetData>
  <mergeCells count="1">
    <mergeCell ref="A1:F1"/>
  </mergeCells>
  <conditionalFormatting sqref="G5:G17">
    <cfRule type="cellIs" dxfId="7" priority="2" operator="equal">
      <formula>"ΥΠΕΡΒΑΣΗ ΧΩΡΗΤΙΚΟΤΗΤΑΣ"</formula>
    </cfRule>
    <cfRule type="cellIs" dxfId="6" priority="3" operator="equal">
      <formula>"ΚΑΝΟΝΙΚΟ"</formula>
    </cfRule>
  </conditionalFormatting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orksheet_____3"/>
  <dimension ref="A1:G107"/>
  <sheetViews>
    <sheetView showGridLines="0" zoomScaleNormal="100" workbookViewId="0">
      <pane ySplit="4" topLeftCell="A5" activePane="bottomLeft" state="frozen"/>
      <selection pane="bottomLeft" activeCell="B33" sqref="B33"/>
    </sheetView>
  </sheetViews>
  <sheetFormatPr defaultColWidth="8.7109375" defaultRowHeight="15" x14ac:dyDescent="0.25"/>
  <cols>
    <col min="1" max="1" width="31.5703125" customWidth="1"/>
    <col min="2" max="2" width="12" customWidth="1"/>
    <col min="3" max="3" width="33.28515625" customWidth="1"/>
    <col min="4" max="4" width="16" customWidth="1"/>
    <col min="5" max="7" width="20" customWidth="1"/>
  </cols>
  <sheetData>
    <row r="1" spans="1:7" ht="20.25" customHeight="1" x14ac:dyDescent="0.25">
      <c r="A1" s="13" t="s">
        <v>39</v>
      </c>
      <c r="B1" s="13"/>
      <c r="C1" s="13"/>
      <c r="D1" s="13"/>
      <c r="E1" s="13"/>
      <c r="F1" s="13"/>
      <c r="G1" s="13"/>
    </row>
    <row r="2" spans="1:7" ht="57.75" customHeight="1" x14ac:dyDescent="0.25">
      <c r="A2" s="20" t="s">
        <v>17</v>
      </c>
      <c r="B2" s="30">
        <f>HMERISIO_PROGRAMMA!B2</f>
        <v>46311</v>
      </c>
      <c r="E2" t="s">
        <v>40</v>
      </c>
    </row>
    <row r="4" spans="1:7" ht="30" customHeight="1" x14ac:dyDescent="0.25">
      <c r="A4" s="14" t="s">
        <v>41</v>
      </c>
      <c r="B4" s="14" t="s">
        <v>3</v>
      </c>
      <c r="C4" s="14" t="s">
        <v>4</v>
      </c>
      <c r="D4" s="14" t="s">
        <v>5</v>
      </c>
      <c r="E4" s="14" t="s">
        <v>6</v>
      </c>
      <c r="F4" s="14" t="s">
        <v>8</v>
      </c>
      <c r="G4" s="31"/>
    </row>
    <row r="5" spans="1:7" ht="15" customHeight="1" x14ac:dyDescent="0.25">
      <c r="A5" s="23">
        <f>IF($B5="","",1)</f>
        <v>1</v>
      </c>
      <c r="B5" s="32" t="str">
        <f>IFERROR(INDEX(ΡΑΝΤΕΒΟΥ!$C$3:$C$102,_xlfn.AGGREGATE(15,6,(ROW(ΡΑΝΤΕΒΟΥ!$C$3:$C$102)-ROW(ΡΑΝΤΕΒΟΥ!$C$3)+1)/((ΡΑΝΤΕΒΟΥ!$B$3:$B$102=$B$2)*(ΡΑΝΤΕΒΟΥ!$H$3:$H$102&lt;&gt;"Ακυρώθηκε")),1)),"")</f>
        <v>08:00</v>
      </c>
      <c r="C5" s="33" t="str">
        <f>IFERROR(INDEX(ΡΑΝΤΕΒΟΥ!$D$3:$D$102,_xlfn.AGGREGATE(15,6,(ROW(ΡΑΝΤΕΒΟΥ!$C$3:$C$102)-ROW(ΡΑΝΤΕΒΟΥ!$C$3)+1)/((ΡΑΝΤΕΒΟΥ!$B$3:$B$102=$B$2)*(ΡΑΝΤΕΒΟΥ!$H$3:$H$102&lt;&gt;"Ακυρώθηκε")),1)),"")</f>
        <v>Mike Oxlong</v>
      </c>
      <c r="D5" s="32" t="str">
        <f>IFERROR(INDEX(ΡΑΝΤΕΒΟΥ!$E$3:$E$102,_xlfn.AGGREGATE(15,6,(ROW(ΡΑΝΤΕΒΟΥ!$C$3:$C$102)-ROW(ΡΑΝΤΕΒΟΥ!$C$3)+1)/((ΡΑΝΤΕΒΟΥ!$B$3:$B$102=$B$2)*(ΡΑΝΤΕΒΟΥ!$H$3:$H$102&lt;&gt;"Ακυρώθηκε")),1)),"")</f>
        <v>xxxxxxx</v>
      </c>
      <c r="E5" s="34">
        <f>IFERROR(INDEX(ΡΑΝΤΕΒΟΥ!$F$3:$F$102,_xlfn.AGGREGATE(15,6,(ROW(ΡΑΝΤΕΒΟΥ!$C$3:$C$102)-ROW(ΡΑΝΤΕΒΟΥ!$C$3)+1)/((ΡΑΝΤΕΒΟΥ!$B$3:$B$102=$B$2)*(ΡΑΝΤΕΒΟΥ!$H$3:$H$102&lt;&gt;"Ακυρώθηκε")),1)),"")</f>
        <v>2200</v>
      </c>
      <c r="F5" s="35" t="str">
        <f>IFERROR(INDEX(ΡΑΝΤΕΒΟΥ!$H$3:$H$102,_xlfn.AGGREGATE(15,6,(ROW(ΡΑΝΤΕΒΟΥ!$C$3:$C$102)-ROW(ΡΑΝΤΕΒΟΥ!$C$3)+1)/((ΡΑΝΤΕΒΟΥ!$B$3:$B$102=$B$2)*(ΡΑΝΤΕΒΟΥ!$H$3:$H$102&lt;&gt;"Ακυρώθηκε")),1)),"")</f>
        <v>Σε αναμονή</v>
      </c>
      <c r="G5" s="36"/>
    </row>
    <row r="6" spans="1:7" ht="15" customHeight="1" x14ac:dyDescent="0.25">
      <c r="A6" s="23">
        <f>IF($B6="","",2)</f>
        <v>2</v>
      </c>
      <c r="B6" s="32" t="str">
        <f>IFERROR(INDEX(ΡΑΝΤΕΒΟΥ!$C$3:$C$102,_xlfn.AGGREGATE(15,6,(ROW(ΡΑΝΤΕΒΟΥ!$C$3:$C$102)-ROW(ΡΑΝΤΕΒΟΥ!$C$3)+1)/((ΡΑΝΤΕΒΟΥ!$B$3:$B$102=$B$2)*(ΡΑΝΤΕΒΟΥ!$H$3:$H$102&lt;&gt;"Ακυρώθηκε")),2)),"")</f>
        <v>08:00</v>
      </c>
      <c r="C6" s="33" t="str">
        <f>IFERROR(INDEX(ΡΑΝΤΕΒΟΥ!$D$3:$D$102,_xlfn.AGGREGATE(15,6,(ROW(ΡΑΝΤΕΒΟΥ!$C$3:$C$102)-ROW(ΡΑΝΤΕΒΟΥ!$C$3)+1)/((ΡΑΝΤΕΒΟΥ!$B$3:$B$102=$B$2)*(ΡΑΝΤΕΒΟΥ!$H$3:$H$102&lt;&gt;"Ακυρώθηκε")),2)),"")</f>
        <v>Mike Oxlong</v>
      </c>
      <c r="D6" s="32">
        <f>IFERROR(INDEX(ΡΑΝΤΕΒΟΥ!$E$3:$E$102,_xlfn.AGGREGATE(15,6,(ROW(ΡΑΝΤΕΒΟΥ!$C$3:$C$102)-ROW(ΡΑΝΤΕΒΟΥ!$C$3)+1)/((ΡΑΝΤΕΒΟΥ!$B$3:$B$102=$B$2)*(ΡΑΝΤΕΒΟΥ!$H$3:$H$102&lt;&gt;"Ακυρώθηκε")),2)),"")</f>
        <v>123123</v>
      </c>
      <c r="E6" s="34">
        <f>IFERROR(INDEX(ΡΑΝΤΕΒΟΥ!$F$3:$F$102,_xlfn.AGGREGATE(15,6,(ROW(ΡΑΝΤΕΒΟΥ!$C$3:$C$102)-ROW(ΡΑΝΤΕΒΟΥ!$C$3)+1)/((ΡΑΝΤΕΒΟΥ!$B$3:$B$102=$B$2)*(ΡΑΝΤΕΒΟΥ!$H$3:$H$102&lt;&gt;"Ακυρώθηκε")),2)),"")</f>
        <v>800</v>
      </c>
      <c r="F6" s="35" t="str">
        <f>IFERROR(INDEX(ΡΑΝΤΕΒΟΥ!$H$3:$H$102,_xlfn.AGGREGATE(15,6,(ROW(ΡΑΝΤΕΒΟΥ!$C$3:$C$102)-ROW(ΡΑΝΤΕΒΟΥ!$C$3)+1)/((ΡΑΝΤΕΒΟΥ!$B$3:$B$102=$B$2)*(ΡΑΝΤΕΒΟΥ!$H$3:$H$102&lt;&gt;"Ακυρώθηκε")),2)),"")</f>
        <v>Σε αναμονή</v>
      </c>
      <c r="G6" s="36"/>
    </row>
    <row r="7" spans="1:7" ht="15" customHeight="1" x14ac:dyDescent="0.25">
      <c r="A7" s="23">
        <f>IF($B7="","",3)</f>
        <v>3</v>
      </c>
      <c r="B7" s="32" t="str">
        <f>IFERROR(INDEX(ΡΑΝΤΕΒΟΥ!$C$3:$C$102,_xlfn.AGGREGATE(15,6,(ROW(ΡΑΝΤΕΒΟΥ!$C$3:$C$102)-ROW(ΡΑΝΤΕΒΟΥ!$C$3)+1)/((ΡΑΝΤΕΒΟΥ!$B$3:$B$102=$B$2)*(ΡΑΝΤΕΒΟΥ!$H$3:$H$102&lt;&gt;"Ακυρώθηκε")),3)),"")</f>
        <v>12:00</v>
      </c>
      <c r="C7" s="33" t="str">
        <f>IFERROR(INDEX(ΡΑΝΤΕΒΟΥ!$D$3:$D$102,_xlfn.AGGREGATE(15,6,(ROW(ΡΑΝΤΕΒΟΥ!$C$3:$C$102)-ROW(ΡΑΝΤΕΒΟΥ!$C$3)+1)/((ΡΑΝΤΕΒΟΥ!$B$3:$B$102=$B$2)*(ΡΑΝΤΕΒΟΥ!$H$3:$H$102&lt;&gt;"Ακυρώθηκε")),3)),"")</f>
        <v>Mike Oxlong</v>
      </c>
      <c r="D7" s="32" t="str">
        <f>IFERROR(INDEX(ΡΑΝΤΕΒΟΥ!$E$3:$E$102,_xlfn.AGGREGATE(15,6,(ROW(ΡΑΝΤΕΒΟΥ!$C$3:$C$102)-ROW(ΡΑΝΤΕΒΟΥ!$C$3)+1)/((ΡΑΝΤΕΒΟΥ!$B$3:$B$102=$B$2)*(ΡΑΝΤΕΒΟΥ!$H$3:$H$102&lt;&gt;"Ακυρώθηκε")),3)),"")</f>
        <v>xxxxxxx</v>
      </c>
      <c r="E7" s="34">
        <f>IFERROR(INDEX(ΡΑΝΤΕΒΟΥ!$F$3:$F$102,_xlfn.AGGREGATE(15,6,(ROW(ΡΑΝΤΕΒΟΥ!$C$3:$C$102)-ROW(ΡΑΝΤΕΒΟΥ!$C$3)+1)/((ΡΑΝΤΕΒΟΥ!$B$3:$B$102=$B$2)*(ΡΑΝΤΕΒΟΥ!$H$3:$H$102&lt;&gt;"Ακυρώθηκε")),3)),"")</f>
        <v>1000</v>
      </c>
      <c r="F7" s="35" t="str">
        <f>IFERROR(INDEX(ΡΑΝΤΕΒΟΥ!$H$3:$H$102,_xlfn.AGGREGATE(15,6,(ROW(ΡΑΝΤΕΒΟΥ!$C$3:$C$102)-ROW(ΡΑΝΤΕΒΟΥ!$C$3)+1)/((ΡΑΝΤΕΒΟΥ!$B$3:$B$102=$B$2)*(ΡΑΝΤΕΒΟΥ!$H$3:$H$102&lt;&gt;"Ακυρώθηκε")),3)),"")</f>
        <v>Σε αναμονή</v>
      </c>
      <c r="G7" s="36"/>
    </row>
    <row r="8" spans="1:7" ht="15" customHeight="1" x14ac:dyDescent="0.25">
      <c r="A8" s="23" t="str">
        <f>IF($B8="","",4)</f>
        <v/>
      </c>
      <c r="B8" s="32" t="str">
        <f>IFERROR(INDEX(ΡΑΝΤΕΒΟΥ!$C$3:$C$102,_xlfn.AGGREGATE(15,6,(ROW(ΡΑΝΤΕΒΟΥ!$C$3:$C$102)-ROW(ΡΑΝΤΕΒΟΥ!$C$3)+1)/((ΡΑΝΤΕΒΟΥ!$B$3:$B$102=$B$2)*(ΡΑΝΤΕΒΟΥ!$H$3:$H$102&lt;&gt;"Ακυρώθηκε")),4)),"")</f>
        <v/>
      </c>
      <c r="C8" s="33" t="str">
        <f>IFERROR(INDEX(ΡΑΝΤΕΒΟΥ!$D$3:$D$102,_xlfn.AGGREGATE(15,6,(ROW(ΡΑΝΤΕΒΟΥ!$C$3:$C$102)-ROW(ΡΑΝΤΕΒΟΥ!$C$3)+1)/((ΡΑΝΤΕΒΟΥ!$B$3:$B$102=$B$2)*(ΡΑΝΤΕΒΟΥ!$H$3:$H$102&lt;&gt;"Ακυρώθηκε")),4)),"")</f>
        <v/>
      </c>
      <c r="D8" s="32" t="str">
        <f>IFERROR(INDEX(ΡΑΝΤΕΒΟΥ!$E$3:$E$102,_xlfn.AGGREGATE(15,6,(ROW(ΡΑΝΤΕΒΟΥ!$C$3:$C$102)-ROW(ΡΑΝΤΕΒΟΥ!$C$3)+1)/((ΡΑΝΤΕΒΟΥ!$B$3:$B$102=$B$2)*(ΡΑΝΤΕΒΟΥ!$H$3:$H$102&lt;&gt;"Ακυρώθηκε")),4)),"")</f>
        <v/>
      </c>
      <c r="E8" s="34" t="str">
        <f>IFERROR(INDEX(ΡΑΝΤΕΒΟΥ!$F$3:$F$102,_xlfn.AGGREGATE(15,6,(ROW(ΡΑΝΤΕΒΟΥ!$C$3:$C$102)-ROW(ΡΑΝΤΕΒΟΥ!$C$3)+1)/((ΡΑΝΤΕΒΟΥ!$B$3:$B$102=$B$2)*(ΡΑΝΤΕΒΟΥ!$H$3:$H$102&lt;&gt;"Ακυρώθηκε")),4)),"")</f>
        <v/>
      </c>
      <c r="F8" s="35" t="str">
        <f>IFERROR(INDEX(ΡΑΝΤΕΒΟΥ!$H$3:$H$102,_xlfn.AGGREGATE(15,6,(ROW(ΡΑΝΤΕΒΟΥ!$C$3:$C$102)-ROW(ΡΑΝΤΕΒΟΥ!$C$3)+1)/((ΡΑΝΤΕΒΟΥ!$B$3:$B$102=$B$2)*(ΡΑΝΤΕΒΟΥ!$H$3:$H$102&lt;&gt;"Ακυρώθηκε")),4)),"")</f>
        <v/>
      </c>
      <c r="G8" s="36"/>
    </row>
    <row r="9" spans="1:7" ht="15" customHeight="1" x14ac:dyDescent="0.25">
      <c r="A9" s="23" t="str">
        <f>IF($B9="","",5)</f>
        <v/>
      </c>
      <c r="B9" s="32" t="str">
        <f>IFERROR(INDEX(ΡΑΝΤΕΒΟΥ!$C$3:$C$102,_xlfn.AGGREGATE(15,6,(ROW(ΡΑΝΤΕΒΟΥ!$C$3:$C$102)-ROW(ΡΑΝΤΕΒΟΥ!$C$3)+1)/((ΡΑΝΤΕΒΟΥ!$B$3:$B$102=$B$2)*(ΡΑΝΤΕΒΟΥ!$H$3:$H$102&lt;&gt;"Ακυρώθηκε")),5)),"")</f>
        <v/>
      </c>
      <c r="C9" s="33" t="str">
        <f>IFERROR(INDEX(ΡΑΝΤΕΒΟΥ!$D$3:$D$102,_xlfn.AGGREGATE(15,6,(ROW(ΡΑΝΤΕΒΟΥ!$C$3:$C$102)-ROW(ΡΑΝΤΕΒΟΥ!$C$3)+1)/((ΡΑΝΤΕΒΟΥ!$B$3:$B$102=$B$2)*(ΡΑΝΤΕΒΟΥ!$H$3:$H$102&lt;&gt;"Ακυρώθηκε")),5)),"")</f>
        <v/>
      </c>
      <c r="D9" s="32" t="str">
        <f>IFERROR(INDEX(ΡΑΝΤΕΒΟΥ!$E$3:$E$102,_xlfn.AGGREGATE(15,6,(ROW(ΡΑΝΤΕΒΟΥ!$C$3:$C$102)-ROW(ΡΑΝΤΕΒΟΥ!$C$3)+1)/((ΡΑΝΤΕΒΟΥ!$B$3:$B$102=$B$2)*(ΡΑΝΤΕΒΟΥ!$H$3:$H$102&lt;&gt;"Ακυρώθηκε")),5)),"")</f>
        <v/>
      </c>
      <c r="E9" s="34" t="str">
        <f>IFERROR(INDEX(ΡΑΝΤΕΒΟΥ!$F$3:$F$102,_xlfn.AGGREGATE(15,6,(ROW(ΡΑΝΤΕΒΟΥ!$C$3:$C$102)-ROW(ΡΑΝΤΕΒΟΥ!$C$3)+1)/((ΡΑΝΤΕΒΟΥ!$B$3:$B$102=$B$2)*(ΡΑΝΤΕΒΟΥ!$H$3:$H$102&lt;&gt;"Ακυρώθηκε")),5)),"")</f>
        <v/>
      </c>
      <c r="F9" s="35" t="str">
        <f>IFERROR(INDEX(ΡΑΝΤΕΒΟΥ!$H$3:$H$102,_xlfn.AGGREGATE(15,6,(ROW(ΡΑΝΤΕΒΟΥ!$C$3:$C$102)-ROW(ΡΑΝΤΕΒΟΥ!$C$3)+1)/((ΡΑΝΤΕΒΟΥ!$B$3:$B$102=$B$2)*(ΡΑΝΤΕΒΟΥ!$H$3:$H$102&lt;&gt;"Ακυρώθηκε")),5)),"")</f>
        <v/>
      </c>
      <c r="G9" s="36"/>
    </row>
    <row r="10" spans="1:7" ht="15" customHeight="1" x14ac:dyDescent="0.25">
      <c r="A10" s="23" t="str">
        <f>IF($B10="","",6)</f>
        <v/>
      </c>
      <c r="B10" s="32" t="str">
        <f>IFERROR(INDEX(ΡΑΝΤΕΒΟΥ!$C$3:$C$102,_xlfn.AGGREGATE(15,6,(ROW(ΡΑΝΤΕΒΟΥ!$C$3:$C$102)-ROW(ΡΑΝΤΕΒΟΥ!$C$3)+1)/((ΡΑΝΤΕΒΟΥ!$B$3:$B$102=$B$2)*(ΡΑΝΤΕΒΟΥ!$H$3:$H$102&lt;&gt;"Ακυρώθηκε")),6)),"")</f>
        <v/>
      </c>
      <c r="C10" s="33" t="str">
        <f>IFERROR(INDEX(ΡΑΝΤΕΒΟΥ!$D$3:$D$102,_xlfn.AGGREGATE(15,6,(ROW(ΡΑΝΤΕΒΟΥ!$C$3:$C$102)-ROW(ΡΑΝΤΕΒΟΥ!$C$3)+1)/((ΡΑΝΤΕΒΟΥ!$B$3:$B$102=$B$2)*(ΡΑΝΤΕΒΟΥ!$H$3:$H$102&lt;&gt;"Ακυρώθηκε")),6)),"")</f>
        <v/>
      </c>
      <c r="D10" s="32" t="str">
        <f>IFERROR(INDEX(ΡΑΝΤΕΒΟΥ!$E$3:$E$102,_xlfn.AGGREGATE(15,6,(ROW(ΡΑΝΤΕΒΟΥ!$C$3:$C$102)-ROW(ΡΑΝΤΕΒΟΥ!$C$3)+1)/((ΡΑΝΤΕΒΟΥ!$B$3:$B$102=$B$2)*(ΡΑΝΤΕΒΟΥ!$H$3:$H$102&lt;&gt;"Ακυρώθηκε")),6)),"")</f>
        <v/>
      </c>
      <c r="E10" s="34" t="str">
        <f>IFERROR(INDEX(ΡΑΝΤΕΒΟΥ!$F$3:$F$102,_xlfn.AGGREGATE(15,6,(ROW(ΡΑΝΤΕΒΟΥ!$C$3:$C$102)-ROW(ΡΑΝΤΕΒΟΥ!$C$3)+1)/((ΡΑΝΤΕΒΟΥ!$B$3:$B$102=$B$2)*(ΡΑΝΤΕΒΟΥ!$H$3:$H$102&lt;&gt;"Ακυρώθηκε")),6)),"")</f>
        <v/>
      </c>
      <c r="F10" s="35" t="str">
        <f>IFERROR(INDEX(ΡΑΝΤΕΒΟΥ!$H$3:$H$102,_xlfn.AGGREGATE(15,6,(ROW(ΡΑΝΤΕΒΟΥ!$C$3:$C$102)-ROW(ΡΑΝΤΕΒΟΥ!$C$3)+1)/((ΡΑΝΤΕΒΟΥ!$B$3:$B$102=$B$2)*(ΡΑΝΤΕΒΟΥ!$H$3:$H$102&lt;&gt;"Ακυρώθηκε")),6)),"")</f>
        <v/>
      </c>
      <c r="G10" s="36"/>
    </row>
    <row r="11" spans="1:7" ht="15" customHeight="1" x14ac:dyDescent="0.25">
      <c r="A11" s="23" t="str">
        <f>IF($B11="","",7)</f>
        <v/>
      </c>
      <c r="B11" s="32" t="str">
        <f>IFERROR(INDEX(ΡΑΝΤΕΒΟΥ!$C$3:$C$102,_xlfn.AGGREGATE(15,6,(ROW(ΡΑΝΤΕΒΟΥ!$C$3:$C$102)-ROW(ΡΑΝΤΕΒΟΥ!$C$3)+1)/((ΡΑΝΤΕΒΟΥ!$B$3:$B$102=$B$2)*(ΡΑΝΤΕΒΟΥ!$H$3:$H$102&lt;&gt;"Ακυρώθηκε")),7)),"")</f>
        <v/>
      </c>
      <c r="C11" s="33" t="str">
        <f>IFERROR(INDEX(ΡΑΝΤΕΒΟΥ!$D$3:$D$102,_xlfn.AGGREGATE(15,6,(ROW(ΡΑΝΤΕΒΟΥ!$C$3:$C$102)-ROW(ΡΑΝΤΕΒΟΥ!$C$3)+1)/((ΡΑΝΤΕΒΟΥ!$B$3:$B$102=$B$2)*(ΡΑΝΤΕΒΟΥ!$H$3:$H$102&lt;&gt;"Ακυρώθηκε")),7)),"")</f>
        <v/>
      </c>
      <c r="D11" s="32" t="str">
        <f>IFERROR(INDEX(ΡΑΝΤΕΒΟΥ!$E$3:$E$102,_xlfn.AGGREGATE(15,6,(ROW(ΡΑΝΤΕΒΟΥ!$C$3:$C$102)-ROW(ΡΑΝΤΕΒΟΥ!$C$3)+1)/((ΡΑΝΤΕΒΟΥ!$B$3:$B$102=$B$2)*(ΡΑΝΤΕΒΟΥ!$H$3:$H$102&lt;&gt;"Ακυρώθηκε")),7)),"")</f>
        <v/>
      </c>
      <c r="E11" s="34" t="str">
        <f>IFERROR(INDEX(ΡΑΝΤΕΒΟΥ!$F$3:$F$102,_xlfn.AGGREGATE(15,6,(ROW(ΡΑΝΤΕΒΟΥ!$C$3:$C$102)-ROW(ΡΑΝΤΕΒΟΥ!$C$3)+1)/((ΡΑΝΤΕΒΟΥ!$B$3:$B$102=$B$2)*(ΡΑΝΤΕΒΟΥ!$H$3:$H$102&lt;&gt;"Ακυρώθηκε")),7)),"")</f>
        <v/>
      </c>
      <c r="F11" s="35" t="str">
        <f>IFERROR(INDEX(ΡΑΝΤΕΒΟΥ!$H$3:$H$102,_xlfn.AGGREGATE(15,6,(ROW(ΡΑΝΤΕΒΟΥ!$C$3:$C$102)-ROW(ΡΑΝΤΕΒΟΥ!$C$3)+1)/((ΡΑΝΤΕΒΟΥ!$B$3:$B$102=$B$2)*(ΡΑΝΤΕΒΟΥ!$H$3:$H$102&lt;&gt;"Ακυρώθηκε")),7)),"")</f>
        <v/>
      </c>
      <c r="G11" s="36"/>
    </row>
    <row r="12" spans="1:7" ht="15" customHeight="1" x14ac:dyDescent="0.25">
      <c r="A12" s="23" t="str">
        <f>IF($B12="","",8)</f>
        <v/>
      </c>
      <c r="B12" s="32" t="str">
        <f>IFERROR(INDEX(ΡΑΝΤΕΒΟΥ!$C$3:$C$102,_xlfn.AGGREGATE(15,6,(ROW(ΡΑΝΤΕΒΟΥ!$C$3:$C$102)-ROW(ΡΑΝΤΕΒΟΥ!$C$3)+1)/((ΡΑΝΤΕΒΟΥ!$B$3:$B$102=$B$2)*(ΡΑΝΤΕΒΟΥ!$H$3:$H$102&lt;&gt;"Ακυρώθηκε")),8)),"")</f>
        <v/>
      </c>
      <c r="C12" s="33" t="str">
        <f>IFERROR(INDEX(ΡΑΝΤΕΒΟΥ!$D$3:$D$102,_xlfn.AGGREGATE(15,6,(ROW(ΡΑΝΤΕΒΟΥ!$C$3:$C$102)-ROW(ΡΑΝΤΕΒΟΥ!$C$3)+1)/((ΡΑΝΤΕΒΟΥ!$B$3:$B$102=$B$2)*(ΡΑΝΤΕΒΟΥ!$H$3:$H$102&lt;&gt;"Ακυρώθηκε")),8)),"")</f>
        <v/>
      </c>
      <c r="D12" s="32" t="str">
        <f>IFERROR(INDEX(ΡΑΝΤΕΒΟΥ!$E$3:$E$102,_xlfn.AGGREGATE(15,6,(ROW(ΡΑΝΤΕΒΟΥ!$C$3:$C$102)-ROW(ΡΑΝΤΕΒΟΥ!$C$3)+1)/((ΡΑΝΤΕΒΟΥ!$B$3:$B$102=$B$2)*(ΡΑΝΤΕΒΟΥ!$H$3:$H$102&lt;&gt;"Ακυρώθηκε")),8)),"")</f>
        <v/>
      </c>
      <c r="E12" s="34" t="str">
        <f>IFERROR(INDEX(ΡΑΝΤΕΒΟΥ!$F$3:$F$102,_xlfn.AGGREGATE(15,6,(ROW(ΡΑΝΤΕΒΟΥ!$C$3:$C$102)-ROW(ΡΑΝΤΕΒΟΥ!$C$3)+1)/((ΡΑΝΤΕΒΟΥ!$B$3:$B$102=$B$2)*(ΡΑΝΤΕΒΟΥ!$H$3:$H$102&lt;&gt;"Ακυρώθηκε")),8)),"")</f>
        <v/>
      </c>
      <c r="F12" s="35" t="str">
        <f>IFERROR(INDEX(ΡΑΝΤΕΒΟΥ!$H$3:$H$102,_xlfn.AGGREGATE(15,6,(ROW(ΡΑΝΤΕΒΟΥ!$C$3:$C$102)-ROW(ΡΑΝΤΕΒΟΥ!$C$3)+1)/((ΡΑΝΤΕΒΟΥ!$B$3:$B$102=$B$2)*(ΡΑΝΤΕΒΟΥ!$H$3:$H$102&lt;&gt;"Ακυρώθηκε")),8)),"")</f>
        <v/>
      </c>
      <c r="G12" s="36"/>
    </row>
    <row r="13" spans="1:7" ht="15" customHeight="1" x14ac:dyDescent="0.25">
      <c r="A13" s="23" t="str">
        <f>IF($B13="","",9)</f>
        <v/>
      </c>
      <c r="B13" s="32" t="str">
        <f>IFERROR(INDEX(ΡΑΝΤΕΒΟΥ!$C$3:$C$102,_xlfn.AGGREGATE(15,6,(ROW(ΡΑΝΤΕΒΟΥ!$C$3:$C$102)-ROW(ΡΑΝΤΕΒΟΥ!$C$3)+1)/((ΡΑΝΤΕΒΟΥ!$B$3:$B$102=$B$2)*(ΡΑΝΤΕΒΟΥ!$H$3:$H$102&lt;&gt;"Ακυρώθηκε")),9)),"")</f>
        <v/>
      </c>
      <c r="C13" s="33" t="str">
        <f>IFERROR(INDEX(ΡΑΝΤΕΒΟΥ!$D$3:$D$102,_xlfn.AGGREGATE(15,6,(ROW(ΡΑΝΤΕΒΟΥ!$C$3:$C$102)-ROW(ΡΑΝΤΕΒΟΥ!$C$3)+1)/((ΡΑΝΤΕΒΟΥ!$B$3:$B$102=$B$2)*(ΡΑΝΤΕΒΟΥ!$H$3:$H$102&lt;&gt;"Ακυρώθηκε")),9)),"")</f>
        <v/>
      </c>
      <c r="D13" s="32" t="str">
        <f>IFERROR(INDEX(ΡΑΝΤΕΒΟΥ!$E$3:$E$102,_xlfn.AGGREGATE(15,6,(ROW(ΡΑΝΤΕΒΟΥ!$C$3:$C$102)-ROW(ΡΑΝΤΕΒΟΥ!$C$3)+1)/((ΡΑΝΤΕΒΟΥ!$B$3:$B$102=$B$2)*(ΡΑΝΤΕΒΟΥ!$H$3:$H$102&lt;&gt;"Ακυρώθηκε")),9)),"")</f>
        <v/>
      </c>
      <c r="E13" s="34" t="str">
        <f>IFERROR(INDEX(ΡΑΝΤΕΒΟΥ!$F$3:$F$102,_xlfn.AGGREGATE(15,6,(ROW(ΡΑΝΤΕΒΟΥ!$C$3:$C$102)-ROW(ΡΑΝΤΕΒΟΥ!$C$3)+1)/((ΡΑΝΤΕΒΟΥ!$B$3:$B$102=$B$2)*(ΡΑΝΤΕΒΟΥ!$H$3:$H$102&lt;&gt;"Ακυρώθηκε")),9)),"")</f>
        <v/>
      </c>
      <c r="F13" s="35" t="str">
        <f>IFERROR(INDEX(ΡΑΝΤΕΒΟΥ!$H$3:$H$102,_xlfn.AGGREGATE(15,6,(ROW(ΡΑΝΤΕΒΟΥ!$C$3:$C$102)-ROW(ΡΑΝΤΕΒΟΥ!$C$3)+1)/((ΡΑΝΤΕΒΟΥ!$B$3:$B$102=$B$2)*(ΡΑΝΤΕΒΟΥ!$H$3:$H$102&lt;&gt;"Ακυρώθηκε")),9)),"")</f>
        <v/>
      </c>
      <c r="G13" s="36"/>
    </row>
    <row r="14" spans="1:7" ht="15" customHeight="1" x14ac:dyDescent="0.25">
      <c r="A14" s="23" t="str">
        <f>IF($B14="","",10)</f>
        <v/>
      </c>
      <c r="B14" s="32" t="str">
        <f>IFERROR(INDEX(ΡΑΝΤΕΒΟΥ!$C$3:$C$102,_xlfn.AGGREGATE(15,6,(ROW(ΡΑΝΤΕΒΟΥ!$C$3:$C$102)-ROW(ΡΑΝΤΕΒΟΥ!$C$3)+1)/((ΡΑΝΤΕΒΟΥ!$B$3:$B$102=$B$2)*(ΡΑΝΤΕΒΟΥ!$H$3:$H$102&lt;&gt;"Ακυρώθηκε")),10)),"")</f>
        <v/>
      </c>
      <c r="C14" s="33" t="str">
        <f>IFERROR(INDEX(ΡΑΝΤΕΒΟΥ!$D$3:$D$102,_xlfn.AGGREGATE(15,6,(ROW(ΡΑΝΤΕΒΟΥ!$C$3:$C$102)-ROW(ΡΑΝΤΕΒΟΥ!$C$3)+1)/((ΡΑΝΤΕΒΟΥ!$B$3:$B$102=$B$2)*(ΡΑΝΤΕΒΟΥ!$H$3:$H$102&lt;&gt;"Ακυρώθηκε")),10)),"")</f>
        <v/>
      </c>
      <c r="D14" s="32" t="str">
        <f>IFERROR(INDEX(ΡΑΝΤΕΒΟΥ!$E$3:$E$102,_xlfn.AGGREGATE(15,6,(ROW(ΡΑΝΤΕΒΟΥ!$C$3:$C$102)-ROW(ΡΑΝΤΕΒΟΥ!$C$3)+1)/((ΡΑΝΤΕΒΟΥ!$B$3:$B$102=$B$2)*(ΡΑΝΤΕΒΟΥ!$H$3:$H$102&lt;&gt;"Ακυρώθηκε")),10)),"")</f>
        <v/>
      </c>
      <c r="E14" s="34" t="str">
        <f>IFERROR(INDEX(ΡΑΝΤΕΒΟΥ!$F$3:$F$102,_xlfn.AGGREGATE(15,6,(ROW(ΡΑΝΤΕΒΟΥ!$C$3:$C$102)-ROW(ΡΑΝΤΕΒΟΥ!$C$3)+1)/((ΡΑΝΤΕΒΟΥ!$B$3:$B$102=$B$2)*(ΡΑΝΤΕΒΟΥ!$H$3:$H$102&lt;&gt;"Ακυρώθηκε")),10)),"")</f>
        <v/>
      </c>
      <c r="F14" s="35" t="str">
        <f>IFERROR(INDEX(ΡΑΝΤΕΒΟΥ!$H$3:$H$102,_xlfn.AGGREGATE(15,6,(ROW(ΡΑΝΤΕΒΟΥ!$C$3:$C$102)-ROW(ΡΑΝΤΕΒΟΥ!$C$3)+1)/((ΡΑΝΤΕΒΟΥ!$B$3:$B$102=$B$2)*(ΡΑΝΤΕΒΟΥ!$H$3:$H$102&lt;&gt;"Ακυρώθηκε")),10)),"")</f>
        <v/>
      </c>
      <c r="G14" s="36"/>
    </row>
    <row r="15" spans="1:7" ht="15" customHeight="1" x14ac:dyDescent="0.25">
      <c r="A15" s="23" t="str">
        <f>IF($B15="","",11)</f>
        <v/>
      </c>
      <c r="B15" s="32" t="str">
        <f>IFERROR(INDEX(ΡΑΝΤΕΒΟΥ!$C$3:$C$102,_xlfn.AGGREGATE(15,6,(ROW(ΡΑΝΤΕΒΟΥ!$C$3:$C$102)-ROW(ΡΑΝΤΕΒΟΥ!$C$3)+1)/((ΡΑΝΤΕΒΟΥ!$B$3:$B$102=$B$2)*(ΡΑΝΤΕΒΟΥ!$H$3:$H$102&lt;&gt;"Ακυρώθηκε")),11)),"")</f>
        <v/>
      </c>
      <c r="C15" s="33" t="str">
        <f>IFERROR(INDEX(ΡΑΝΤΕΒΟΥ!$D$3:$D$102,_xlfn.AGGREGATE(15,6,(ROW(ΡΑΝΤΕΒΟΥ!$C$3:$C$102)-ROW(ΡΑΝΤΕΒΟΥ!$C$3)+1)/((ΡΑΝΤΕΒΟΥ!$B$3:$B$102=$B$2)*(ΡΑΝΤΕΒΟΥ!$H$3:$H$102&lt;&gt;"Ακυρώθηκε")),11)),"")</f>
        <v/>
      </c>
      <c r="D15" s="32" t="str">
        <f>IFERROR(INDEX(ΡΑΝΤΕΒΟΥ!$E$3:$E$102,_xlfn.AGGREGATE(15,6,(ROW(ΡΑΝΤΕΒΟΥ!$C$3:$C$102)-ROW(ΡΑΝΤΕΒΟΥ!$C$3)+1)/((ΡΑΝΤΕΒΟΥ!$B$3:$B$102=$B$2)*(ΡΑΝΤΕΒΟΥ!$H$3:$H$102&lt;&gt;"Ακυρώθηκε")),11)),"")</f>
        <v/>
      </c>
      <c r="E15" s="34" t="str">
        <f>IFERROR(INDEX(ΡΑΝΤΕΒΟΥ!$F$3:$F$102,_xlfn.AGGREGATE(15,6,(ROW(ΡΑΝΤΕΒΟΥ!$C$3:$C$102)-ROW(ΡΑΝΤΕΒΟΥ!$C$3)+1)/((ΡΑΝΤΕΒΟΥ!$B$3:$B$102=$B$2)*(ΡΑΝΤΕΒΟΥ!$H$3:$H$102&lt;&gt;"Ακυρώθηκε")),11)),"")</f>
        <v/>
      </c>
      <c r="F15" s="35" t="str">
        <f>IFERROR(INDEX(ΡΑΝΤΕΒΟΥ!$H$3:$H$102,_xlfn.AGGREGATE(15,6,(ROW(ΡΑΝΤΕΒΟΥ!$C$3:$C$102)-ROW(ΡΑΝΤΕΒΟΥ!$C$3)+1)/((ΡΑΝΤΕΒΟΥ!$B$3:$B$102=$B$2)*(ΡΑΝΤΕΒΟΥ!$H$3:$H$102&lt;&gt;"Ακυρώθηκε")),11)),"")</f>
        <v/>
      </c>
      <c r="G15" s="36"/>
    </row>
    <row r="16" spans="1:7" ht="15" customHeight="1" x14ac:dyDescent="0.25">
      <c r="A16" s="23" t="str">
        <f>IF($B16="","",12)</f>
        <v/>
      </c>
      <c r="B16" s="32" t="str">
        <f>IFERROR(INDEX(ΡΑΝΤΕΒΟΥ!$C$3:$C$102,_xlfn.AGGREGATE(15,6,(ROW(ΡΑΝΤΕΒΟΥ!$C$3:$C$102)-ROW(ΡΑΝΤΕΒΟΥ!$C$3)+1)/((ΡΑΝΤΕΒΟΥ!$B$3:$B$102=$B$2)*(ΡΑΝΤΕΒΟΥ!$H$3:$H$102&lt;&gt;"Ακυρώθηκε")),12)),"")</f>
        <v/>
      </c>
      <c r="C16" s="33" t="str">
        <f>IFERROR(INDEX(ΡΑΝΤΕΒΟΥ!$D$3:$D$102,_xlfn.AGGREGATE(15,6,(ROW(ΡΑΝΤΕΒΟΥ!$C$3:$C$102)-ROW(ΡΑΝΤΕΒΟΥ!$C$3)+1)/((ΡΑΝΤΕΒΟΥ!$B$3:$B$102=$B$2)*(ΡΑΝΤΕΒΟΥ!$H$3:$H$102&lt;&gt;"Ακυρώθηκε")),12)),"")</f>
        <v/>
      </c>
      <c r="D16" s="32" t="str">
        <f>IFERROR(INDEX(ΡΑΝΤΕΒΟΥ!$E$3:$E$102,_xlfn.AGGREGATE(15,6,(ROW(ΡΑΝΤΕΒΟΥ!$C$3:$C$102)-ROW(ΡΑΝΤΕΒΟΥ!$C$3)+1)/((ΡΑΝΤΕΒΟΥ!$B$3:$B$102=$B$2)*(ΡΑΝΤΕΒΟΥ!$H$3:$H$102&lt;&gt;"Ακυρώθηκε")),12)),"")</f>
        <v/>
      </c>
      <c r="E16" s="34" t="str">
        <f>IFERROR(INDEX(ΡΑΝΤΕΒΟΥ!$F$3:$F$102,_xlfn.AGGREGATE(15,6,(ROW(ΡΑΝΤΕΒΟΥ!$C$3:$C$102)-ROW(ΡΑΝΤΕΒΟΥ!$C$3)+1)/((ΡΑΝΤΕΒΟΥ!$B$3:$B$102=$B$2)*(ΡΑΝΤΕΒΟΥ!$H$3:$H$102&lt;&gt;"Ακυρώθηκε")),12)),"")</f>
        <v/>
      </c>
      <c r="F16" s="35" t="str">
        <f>IFERROR(INDEX(ΡΑΝΤΕΒΟΥ!$H$3:$H$102,_xlfn.AGGREGATE(15,6,(ROW(ΡΑΝΤΕΒΟΥ!$C$3:$C$102)-ROW(ΡΑΝΤΕΒΟΥ!$C$3)+1)/((ΡΑΝΤΕΒΟΥ!$B$3:$B$102=$B$2)*(ΡΑΝΤΕΒΟΥ!$H$3:$H$102&lt;&gt;"Ακυρώθηκε")),12)),"")</f>
        <v/>
      </c>
      <c r="G16" s="36"/>
    </row>
    <row r="17" spans="1:7" ht="15" customHeight="1" x14ac:dyDescent="0.25">
      <c r="A17" s="23" t="str">
        <f>IF($B17="","",13)</f>
        <v/>
      </c>
      <c r="B17" s="32" t="str">
        <f>IFERROR(INDEX(ΡΑΝΤΕΒΟΥ!$C$3:$C$102,_xlfn.AGGREGATE(15,6,(ROW(ΡΑΝΤΕΒΟΥ!$C$3:$C$102)-ROW(ΡΑΝΤΕΒΟΥ!$C$3)+1)/((ΡΑΝΤΕΒΟΥ!$B$3:$B$102=$B$2)*(ΡΑΝΤΕΒΟΥ!$H$3:$H$102&lt;&gt;"Ακυρώθηκε")),13)),"")</f>
        <v/>
      </c>
      <c r="C17" s="33" t="str">
        <f>IFERROR(INDEX(ΡΑΝΤΕΒΟΥ!$D$3:$D$102,_xlfn.AGGREGATE(15,6,(ROW(ΡΑΝΤΕΒΟΥ!$C$3:$C$102)-ROW(ΡΑΝΤΕΒΟΥ!$C$3)+1)/((ΡΑΝΤΕΒΟΥ!$B$3:$B$102=$B$2)*(ΡΑΝΤΕΒΟΥ!$H$3:$H$102&lt;&gt;"Ακυρώθηκε")),13)),"")</f>
        <v/>
      </c>
      <c r="D17" s="32" t="str">
        <f>IFERROR(INDEX(ΡΑΝΤΕΒΟΥ!$E$3:$E$102,_xlfn.AGGREGATE(15,6,(ROW(ΡΑΝΤΕΒΟΥ!$C$3:$C$102)-ROW(ΡΑΝΤΕΒΟΥ!$C$3)+1)/((ΡΑΝΤΕΒΟΥ!$B$3:$B$102=$B$2)*(ΡΑΝΤΕΒΟΥ!$H$3:$H$102&lt;&gt;"Ακυρώθηκε")),13)),"")</f>
        <v/>
      </c>
      <c r="E17" s="34" t="str">
        <f>IFERROR(INDEX(ΡΑΝΤΕΒΟΥ!$F$3:$F$102,_xlfn.AGGREGATE(15,6,(ROW(ΡΑΝΤΕΒΟΥ!$C$3:$C$102)-ROW(ΡΑΝΤΕΒΟΥ!$C$3)+1)/((ΡΑΝΤΕΒΟΥ!$B$3:$B$102=$B$2)*(ΡΑΝΤΕΒΟΥ!$H$3:$H$102&lt;&gt;"Ακυρώθηκε")),13)),"")</f>
        <v/>
      </c>
      <c r="F17" s="35" t="str">
        <f>IFERROR(INDEX(ΡΑΝΤΕΒΟΥ!$H$3:$H$102,_xlfn.AGGREGATE(15,6,(ROW(ΡΑΝΤΕΒΟΥ!$C$3:$C$102)-ROW(ΡΑΝΤΕΒΟΥ!$C$3)+1)/((ΡΑΝΤΕΒΟΥ!$B$3:$B$102=$B$2)*(ΡΑΝΤΕΒΟΥ!$H$3:$H$102&lt;&gt;"Ακυρώθηκε")),13)),"")</f>
        <v/>
      </c>
      <c r="G17" s="36"/>
    </row>
    <row r="18" spans="1:7" ht="15" customHeight="1" x14ac:dyDescent="0.25">
      <c r="A18" s="23" t="str">
        <f>IF($B18="","",14)</f>
        <v/>
      </c>
      <c r="B18" s="32" t="str">
        <f>IFERROR(INDEX(ΡΑΝΤΕΒΟΥ!$C$3:$C$102,_xlfn.AGGREGATE(15,6,(ROW(ΡΑΝΤΕΒΟΥ!$C$3:$C$102)-ROW(ΡΑΝΤΕΒΟΥ!$C$3)+1)/((ΡΑΝΤΕΒΟΥ!$B$3:$B$102=$B$2)*(ΡΑΝΤΕΒΟΥ!$H$3:$H$102&lt;&gt;"Ακυρώθηκε")),14)),"")</f>
        <v/>
      </c>
      <c r="C18" s="33" t="str">
        <f>IFERROR(INDEX(ΡΑΝΤΕΒΟΥ!$D$3:$D$102,_xlfn.AGGREGATE(15,6,(ROW(ΡΑΝΤΕΒΟΥ!$C$3:$C$102)-ROW(ΡΑΝΤΕΒΟΥ!$C$3)+1)/((ΡΑΝΤΕΒΟΥ!$B$3:$B$102=$B$2)*(ΡΑΝΤΕΒΟΥ!$H$3:$H$102&lt;&gt;"Ακυρώθηκε")),14)),"")</f>
        <v/>
      </c>
      <c r="D18" s="32" t="str">
        <f>IFERROR(INDEX(ΡΑΝΤΕΒΟΥ!$E$3:$E$102,_xlfn.AGGREGATE(15,6,(ROW(ΡΑΝΤΕΒΟΥ!$C$3:$C$102)-ROW(ΡΑΝΤΕΒΟΥ!$C$3)+1)/((ΡΑΝΤΕΒΟΥ!$B$3:$B$102=$B$2)*(ΡΑΝΤΕΒΟΥ!$H$3:$H$102&lt;&gt;"Ακυρώθηκε")),14)),"")</f>
        <v/>
      </c>
      <c r="E18" s="34" t="str">
        <f>IFERROR(INDEX(ΡΑΝΤΕΒΟΥ!$F$3:$F$102,_xlfn.AGGREGATE(15,6,(ROW(ΡΑΝΤΕΒΟΥ!$C$3:$C$102)-ROW(ΡΑΝΤΕΒΟΥ!$C$3)+1)/((ΡΑΝΤΕΒΟΥ!$B$3:$B$102=$B$2)*(ΡΑΝΤΕΒΟΥ!$H$3:$H$102&lt;&gt;"Ακυρώθηκε")),14)),"")</f>
        <v/>
      </c>
      <c r="F18" s="35" t="str">
        <f>IFERROR(INDEX(ΡΑΝΤΕΒΟΥ!$H$3:$H$102,_xlfn.AGGREGATE(15,6,(ROW(ΡΑΝΤΕΒΟΥ!$C$3:$C$102)-ROW(ΡΑΝΤΕΒΟΥ!$C$3)+1)/((ΡΑΝΤΕΒΟΥ!$B$3:$B$102=$B$2)*(ΡΑΝΤΕΒΟΥ!$H$3:$H$102&lt;&gt;"Ακυρώθηκε")),14)),"")</f>
        <v/>
      </c>
      <c r="G18" s="36"/>
    </row>
    <row r="19" spans="1:7" ht="15" customHeight="1" x14ac:dyDescent="0.25">
      <c r="A19" s="23" t="str">
        <f>IF($B19="","",15)</f>
        <v/>
      </c>
      <c r="B19" s="32" t="str">
        <f>IFERROR(INDEX(ΡΑΝΤΕΒΟΥ!$C$3:$C$102,_xlfn.AGGREGATE(15,6,(ROW(ΡΑΝΤΕΒΟΥ!$C$3:$C$102)-ROW(ΡΑΝΤΕΒΟΥ!$C$3)+1)/((ΡΑΝΤΕΒΟΥ!$B$3:$B$102=$B$2)*(ΡΑΝΤΕΒΟΥ!$H$3:$H$102&lt;&gt;"Ακυρώθηκε")),15)),"")</f>
        <v/>
      </c>
      <c r="C19" s="33" t="str">
        <f>IFERROR(INDEX(ΡΑΝΤΕΒΟΥ!$D$3:$D$102,_xlfn.AGGREGATE(15,6,(ROW(ΡΑΝΤΕΒΟΥ!$C$3:$C$102)-ROW(ΡΑΝΤΕΒΟΥ!$C$3)+1)/((ΡΑΝΤΕΒΟΥ!$B$3:$B$102=$B$2)*(ΡΑΝΤΕΒΟΥ!$H$3:$H$102&lt;&gt;"Ακυρώθηκε")),15)),"")</f>
        <v/>
      </c>
      <c r="D19" s="32" t="str">
        <f>IFERROR(INDEX(ΡΑΝΤΕΒΟΥ!$E$3:$E$102,_xlfn.AGGREGATE(15,6,(ROW(ΡΑΝΤΕΒΟΥ!$C$3:$C$102)-ROW(ΡΑΝΤΕΒΟΥ!$C$3)+1)/((ΡΑΝΤΕΒΟΥ!$B$3:$B$102=$B$2)*(ΡΑΝΤΕΒΟΥ!$H$3:$H$102&lt;&gt;"Ακυρώθηκε")),15)),"")</f>
        <v/>
      </c>
      <c r="E19" s="34" t="str">
        <f>IFERROR(INDEX(ΡΑΝΤΕΒΟΥ!$F$3:$F$102,_xlfn.AGGREGATE(15,6,(ROW(ΡΑΝΤΕΒΟΥ!$C$3:$C$102)-ROW(ΡΑΝΤΕΒΟΥ!$C$3)+1)/((ΡΑΝΤΕΒΟΥ!$B$3:$B$102=$B$2)*(ΡΑΝΤΕΒΟΥ!$H$3:$H$102&lt;&gt;"Ακυρώθηκε")),15)),"")</f>
        <v/>
      </c>
      <c r="F19" s="35" t="str">
        <f>IFERROR(INDEX(ΡΑΝΤΕΒΟΥ!$H$3:$H$102,_xlfn.AGGREGATE(15,6,(ROW(ΡΑΝΤΕΒΟΥ!$C$3:$C$102)-ROW(ΡΑΝΤΕΒΟΥ!$C$3)+1)/((ΡΑΝΤΕΒΟΥ!$B$3:$B$102=$B$2)*(ΡΑΝΤΕΒΟΥ!$H$3:$H$102&lt;&gt;"Ακυρώθηκε")),15)),"")</f>
        <v/>
      </c>
      <c r="G19" s="36"/>
    </row>
    <row r="20" spans="1:7" ht="15" customHeight="1" x14ac:dyDescent="0.25">
      <c r="A20" s="23" t="str">
        <f>IF($B20="","",16)</f>
        <v/>
      </c>
      <c r="B20" s="32" t="str">
        <f>IFERROR(INDEX(ΡΑΝΤΕΒΟΥ!$C$3:$C$102,_xlfn.AGGREGATE(15,6,(ROW(ΡΑΝΤΕΒΟΥ!$C$3:$C$102)-ROW(ΡΑΝΤΕΒΟΥ!$C$3)+1)/((ΡΑΝΤΕΒΟΥ!$B$3:$B$102=$B$2)*(ΡΑΝΤΕΒΟΥ!$H$3:$H$102&lt;&gt;"Ακυρώθηκε")),16)),"")</f>
        <v/>
      </c>
      <c r="C20" s="33" t="str">
        <f>IFERROR(INDEX(ΡΑΝΤΕΒΟΥ!$D$3:$D$102,_xlfn.AGGREGATE(15,6,(ROW(ΡΑΝΤΕΒΟΥ!$C$3:$C$102)-ROW(ΡΑΝΤΕΒΟΥ!$C$3)+1)/((ΡΑΝΤΕΒΟΥ!$B$3:$B$102=$B$2)*(ΡΑΝΤΕΒΟΥ!$H$3:$H$102&lt;&gt;"Ακυρώθηκε")),16)),"")</f>
        <v/>
      </c>
      <c r="D20" s="32" t="str">
        <f>IFERROR(INDEX(ΡΑΝΤΕΒΟΥ!$E$3:$E$102,_xlfn.AGGREGATE(15,6,(ROW(ΡΑΝΤΕΒΟΥ!$C$3:$C$102)-ROW(ΡΑΝΤΕΒΟΥ!$C$3)+1)/((ΡΑΝΤΕΒΟΥ!$B$3:$B$102=$B$2)*(ΡΑΝΤΕΒΟΥ!$H$3:$H$102&lt;&gt;"Ακυρώθηκε")),16)),"")</f>
        <v/>
      </c>
      <c r="E20" s="34" t="str">
        <f>IFERROR(INDEX(ΡΑΝΤΕΒΟΥ!$F$3:$F$102,_xlfn.AGGREGATE(15,6,(ROW(ΡΑΝΤΕΒΟΥ!$C$3:$C$102)-ROW(ΡΑΝΤΕΒΟΥ!$C$3)+1)/((ΡΑΝΤΕΒΟΥ!$B$3:$B$102=$B$2)*(ΡΑΝΤΕΒΟΥ!$H$3:$H$102&lt;&gt;"Ακυρώθηκε")),16)),"")</f>
        <v/>
      </c>
      <c r="F20" s="35" t="str">
        <f>IFERROR(INDEX(ΡΑΝΤΕΒΟΥ!$H$3:$H$102,_xlfn.AGGREGATE(15,6,(ROW(ΡΑΝΤΕΒΟΥ!$C$3:$C$102)-ROW(ΡΑΝΤΕΒΟΥ!$C$3)+1)/((ΡΑΝΤΕΒΟΥ!$B$3:$B$102=$B$2)*(ΡΑΝΤΕΒΟΥ!$H$3:$H$102&lt;&gt;"Ακυρώθηκε")),16)),"")</f>
        <v/>
      </c>
      <c r="G20" s="36"/>
    </row>
    <row r="21" spans="1:7" ht="15" customHeight="1" x14ac:dyDescent="0.25">
      <c r="A21" s="23" t="str">
        <f>IF($B21="","",17)</f>
        <v/>
      </c>
      <c r="B21" s="32" t="str">
        <f>IFERROR(INDEX(ΡΑΝΤΕΒΟΥ!$C$3:$C$102,_xlfn.AGGREGATE(15,6,(ROW(ΡΑΝΤΕΒΟΥ!$C$3:$C$102)-ROW(ΡΑΝΤΕΒΟΥ!$C$3)+1)/((ΡΑΝΤΕΒΟΥ!$B$3:$B$102=$B$2)*(ΡΑΝΤΕΒΟΥ!$H$3:$H$102&lt;&gt;"Ακυρώθηκε")),17)),"")</f>
        <v/>
      </c>
      <c r="C21" s="33" t="str">
        <f>IFERROR(INDEX(ΡΑΝΤΕΒΟΥ!$D$3:$D$102,_xlfn.AGGREGATE(15,6,(ROW(ΡΑΝΤΕΒΟΥ!$C$3:$C$102)-ROW(ΡΑΝΤΕΒΟΥ!$C$3)+1)/((ΡΑΝΤΕΒΟΥ!$B$3:$B$102=$B$2)*(ΡΑΝΤΕΒΟΥ!$H$3:$H$102&lt;&gt;"Ακυρώθηκε")),17)),"")</f>
        <v/>
      </c>
      <c r="D21" s="32" t="str">
        <f>IFERROR(INDEX(ΡΑΝΤΕΒΟΥ!$E$3:$E$102,_xlfn.AGGREGATE(15,6,(ROW(ΡΑΝΤΕΒΟΥ!$C$3:$C$102)-ROW(ΡΑΝΤΕΒΟΥ!$C$3)+1)/((ΡΑΝΤΕΒΟΥ!$B$3:$B$102=$B$2)*(ΡΑΝΤΕΒΟΥ!$H$3:$H$102&lt;&gt;"Ακυρώθηκε")),17)),"")</f>
        <v/>
      </c>
      <c r="E21" s="34" t="str">
        <f>IFERROR(INDEX(ΡΑΝΤΕΒΟΥ!$F$3:$F$102,_xlfn.AGGREGATE(15,6,(ROW(ΡΑΝΤΕΒΟΥ!$C$3:$C$102)-ROW(ΡΑΝΤΕΒΟΥ!$C$3)+1)/((ΡΑΝΤΕΒΟΥ!$B$3:$B$102=$B$2)*(ΡΑΝΤΕΒΟΥ!$H$3:$H$102&lt;&gt;"Ακυρώθηκε")),17)),"")</f>
        <v/>
      </c>
      <c r="F21" s="35" t="str">
        <f>IFERROR(INDEX(ΡΑΝΤΕΒΟΥ!$H$3:$H$102,_xlfn.AGGREGATE(15,6,(ROW(ΡΑΝΤΕΒΟΥ!$C$3:$C$102)-ROW(ΡΑΝΤΕΒΟΥ!$C$3)+1)/((ΡΑΝΤΕΒΟΥ!$B$3:$B$102=$B$2)*(ΡΑΝΤΕΒΟΥ!$H$3:$H$102&lt;&gt;"Ακυρώθηκε")),17)),"")</f>
        <v/>
      </c>
      <c r="G21" s="36"/>
    </row>
    <row r="22" spans="1:7" ht="15" customHeight="1" x14ac:dyDescent="0.25">
      <c r="A22" s="23" t="str">
        <f>IF($B22="","",18)</f>
        <v/>
      </c>
      <c r="B22" s="32" t="str">
        <f>IFERROR(INDEX(ΡΑΝΤΕΒΟΥ!$C$3:$C$102,_xlfn.AGGREGATE(15,6,(ROW(ΡΑΝΤΕΒΟΥ!$C$3:$C$102)-ROW(ΡΑΝΤΕΒΟΥ!$C$3)+1)/((ΡΑΝΤΕΒΟΥ!$B$3:$B$102=$B$2)*(ΡΑΝΤΕΒΟΥ!$H$3:$H$102&lt;&gt;"Ακυρώθηκε")),18)),"")</f>
        <v/>
      </c>
      <c r="C22" s="33" t="str">
        <f>IFERROR(INDEX(ΡΑΝΤΕΒΟΥ!$D$3:$D$102,_xlfn.AGGREGATE(15,6,(ROW(ΡΑΝΤΕΒΟΥ!$C$3:$C$102)-ROW(ΡΑΝΤΕΒΟΥ!$C$3)+1)/((ΡΑΝΤΕΒΟΥ!$B$3:$B$102=$B$2)*(ΡΑΝΤΕΒΟΥ!$H$3:$H$102&lt;&gt;"Ακυρώθηκε")),18)),"")</f>
        <v/>
      </c>
      <c r="D22" s="32" t="str">
        <f>IFERROR(INDEX(ΡΑΝΤΕΒΟΥ!$E$3:$E$102,_xlfn.AGGREGATE(15,6,(ROW(ΡΑΝΤΕΒΟΥ!$C$3:$C$102)-ROW(ΡΑΝΤΕΒΟΥ!$C$3)+1)/((ΡΑΝΤΕΒΟΥ!$B$3:$B$102=$B$2)*(ΡΑΝΤΕΒΟΥ!$H$3:$H$102&lt;&gt;"Ακυρώθηκε")),18)),"")</f>
        <v/>
      </c>
      <c r="E22" s="34" t="str">
        <f>IFERROR(INDEX(ΡΑΝΤΕΒΟΥ!$F$3:$F$102,_xlfn.AGGREGATE(15,6,(ROW(ΡΑΝΤΕΒΟΥ!$C$3:$C$102)-ROW(ΡΑΝΤΕΒΟΥ!$C$3)+1)/((ΡΑΝΤΕΒΟΥ!$B$3:$B$102=$B$2)*(ΡΑΝΤΕΒΟΥ!$H$3:$H$102&lt;&gt;"Ακυρώθηκε")),18)),"")</f>
        <v/>
      </c>
      <c r="F22" s="35" t="str">
        <f>IFERROR(INDEX(ΡΑΝΤΕΒΟΥ!$H$3:$H$102,_xlfn.AGGREGATE(15,6,(ROW(ΡΑΝΤΕΒΟΥ!$C$3:$C$102)-ROW(ΡΑΝΤΕΒΟΥ!$C$3)+1)/((ΡΑΝΤΕΒΟΥ!$B$3:$B$102=$B$2)*(ΡΑΝΤΕΒΟΥ!$H$3:$H$102&lt;&gt;"Ακυρώθηκε")),18)),"")</f>
        <v/>
      </c>
      <c r="G22" s="36"/>
    </row>
    <row r="23" spans="1:7" ht="15" customHeight="1" x14ac:dyDescent="0.25">
      <c r="A23" s="23" t="str">
        <f>IF($B23="","",19)</f>
        <v/>
      </c>
      <c r="B23" s="32" t="str">
        <f>IFERROR(INDEX(ΡΑΝΤΕΒΟΥ!$C$3:$C$102,_xlfn.AGGREGATE(15,6,(ROW(ΡΑΝΤΕΒΟΥ!$C$3:$C$102)-ROW(ΡΑΝΤΕΒΟΥ!$C$3)+1)/((ΡΑΝΤΕΒΟΥ!$B$3:$B$102=$B$2)*(ΡΑΝΤΕΒΟΥ!$H$3:$H$102&lt;&gt;"Ακυρώθηκε")),19)),"")</f>
        <v/>
      </c>
      <c r="C23" s="33" t="str">
        <f>IFERROR(INDEX(ΡΑΝΤΕΒΟΥ!$D$3:$D$102,_xlfn.AGGREGATE(15,6,(ROW(ΡΑΝΤΕΒΟΥ!$C$3:$C$102)-ROW(ΡΑΝΤΕΒΟΥ!$C$3)+1)/((ΡΑΝΤΕΒΟΥ!$B$3:$B$102=$B$2)*(ΡΑΝΤΕΒΟΥ!$H$3:$H$102&lt;&gt;"Ακυρώθηκε")),19)),"")</f>
        <v/>
      </c>
      <c r="D23" s="32" t="str">
        <f>IFERROR(INDEX(ΡΑΝΤΕΒΟΥ!$E$3:$E$102,_xlfn.AGGREGATE(15,6,(ROW(ΡΑΝΤΕΒΟΥ!$C$3:$C$102)-ROW(ΡΑΝΤΕΒΟΥ!$C$3)+1)/((ΡΑΝΤΕΒΟΥ!$B$3:$B$102=$B$2)*(ΡΑΝΤΕΒΟΥ!$H$3:$H$102&lt;&gt;"Ακυρώθηκε")),19)),"")</f>
        <v/>
      </c>
      <c r="E23" s="34" t="str">
        <f>IFERROR(INDEX(ΡΑΝΤΕΒΟΥ!$F$3:$F$102,_xlfn.AGGREGATE(15,6,(ROW(ΡΑΝΤΕΒΟΥ!$C$3:$C$102)-ROW(ΡΑΝΤΕΒΟΥ!$C$3)+1)/((ΡΑΝΤΕΒΟΥ!$B$3:$B$102=$B$2)*(ΡΑΝΤΕΒΟΥ!$H$3:$H$102&lt;&gt;"Ακυρώθηκε")),19)),"")</f>
        <v/>
      </c>
      <c r="F23" s="35" t="str">
        <f>IFERROR(INDEX(ΡΑΝΤΕΒΟΥ!$H$3:$H$102,_xlfn.AGGREGATE(15,6,(ROW(ΡΑΝΤΕΒΟΥ!$C$3:$C$102)-ROW(ΡΑΝΤΕΒΟΥ!$C$3)+1)/((ΡΑΝΤΕΒΟΥ!$B$3:$B$102=$B$2)*(ΡΑΝΤΕΒΟΥ!$H$3:$H$102&lt;&gt;"Ακυρώθηκε")),19)),"")</f>
        <v/>
      </c>
      <c r="G23" s="36"/>
    </row>
    <row r="24" spans="1:7" ht="15" customHeight="1" x14ac:dyDescent="0.25">
      <c r="A24" s="23" t="str">
        <f>IF($B24="","",20)</f>
        <v/>
      </c>
      <c r="B24" s="32" t="str">
        <f>IFERROR(INDEX(ΡΑΝΤΕΒΟΥ!$C$3:$C$102,_xlfn.AGGREGATE(15,6,(ROW(ΡΑΝΤΕΒΟΥ!$C$3:$C$102)-ROW(ΡΑΝΤΕΒΟΥ!$C$3)+1)/((ΡΑΝΤΕΒΟΥ!$B$3:$B$102=$B$2)*(ΡΑΝΤΕΒΟΥ!$H$3:$H$102&lt;&gt;"Ακυρώθηκε")),20)),"")</f>
        <v/>
      </c>
      <c r="C24" s="33" t="str">
        <f>IFERROR(INDEX(ΡΑΝΤΕΒΟΥ!$D$3:$D$102,_xlfn.AGGREGATE(15,6,(ROW(ΡΑΝΤΕΒΟΥ!$C$3:$C$102)-ROW(ΡΑΝΤΕΒΟΥ!$C$3)+1)/((ΡΑΝΤΕΒΟΥ!$B$3:$B$102=$B$2)*(ΡΑΝΤΕΒΟΥ!$H$3:$H$102&lt;&gt;"Ακυρώθηκε")),20)),"")</f>
        <v/>
      </c>
      <c r="D24" s="32" t="str">
        <f>IFERROR(INDEX(ΡΑΝΤΕΒΟΥ!$E$3:$E$102,_xlfn.AGGREGATE(15,6,(ROW(ΡΑΝΤΕΒΟΥ!$C$3:$C$102)-ROW(ΡΑΝΤΕΒΟΥ!$C$3)+1)/((ΡΑΝΤΕΒΟΥ!$B$3:$B$102=$B$2)*(ΡΑΝΤΕΒΟΥ!$H$3:$H$102&lt;&gt;"Ακυρώθηκε")),20)),"")</f>
        <v/>
      </c>
      <c r="E24" s="34" t="str">
        <f>IFERROR(INDEX(ΡΑΝΤΕΒΟΥ!$F$3:$F$102,_xlfn.AGGREGATE(15,6,(ROW(ΡΑΝΤΕΒΟΥ!$C$3:$C$102)-ROW(ΡΑΝΤΕΒΟΥ!$C$3)+1)/((ΡΑΝΤΕΒΟΥ!$B$3:$B$102=$B$2)*(ΡΑΝΤΕΒΟΥ!$H$3:$H$102&lt;&gt;"Ακυρώθηκε")),20)),"")</f>
        <v/>
      </c>
      <c r="F24" s="35" t="str">
        <f>IFERROR(INDEX(ΡΑΝΤΕΒΟΥ!$H$3:$H$102,_xlfn.AGGREGATE(15,6,(ROW(ΡΑΝΤΕΒΟΥ!$C$3:$C$102)-ROW(ΡΑΝΤΕΒΟΥ!$C$3)+1)/((ΡΑΝΤΕΒΟΥ!$B$3:$B$102=$B$2)*(ΡΑΝΤΕΒΟΥ!$H$3:$H$102&lt;&gt;"Ακυρώθηκε")),20)),"")</f>
        <v/>
      </c>
      <c r="G24" s="36"/>
    </row>
    <row r="25" spans="1:7" ht="15" customHeight="1" x14ac:dyDescent="0.25">
      <c r="A25" s="23" t="str">
        <f>IF($B25="","",21)</f>
        <v/>
      </c>
      <c r="B25" s="32" t="str">
        <f>IFERROR(INDEX(ΡΑΝΤΕΒΟΥ!$C$3:$C$102,_xlfn.AGGREGATE(15,6,(ROW(ΡΑΝΤΕΒΟΥ!$C$3:$C$102)-ROW(ΡΑΝΤΕΒΟΥ!$C$3)+1)/((ΡΑΝΤΕΒΟΥ!$B$3:$B$102=$B$2)*(ΡΑΝΤΕΒΟΥ!$H$3:$H$102&lt;&gt;"Ακυρώθηκε")),21)),"")</f>
        <v/>
      </c>
      <c r="C25" s="33" t="str">
        <f>IFERROR(INDEX(ΡΑΝΤΕΒΟΥ!$D$3:$D$102,_xlfn.AGGREGATE(15,6,(ROW(ΡΑΝΤΕΒΟΥ!$C$3:$C$102)-ROW(ΡΑΝΤΕΒΟΥ!$C$3)+1)/((ΡΑΝΤΕΒΟΥ!$B$3:$B$102=$B$2)*(ΡΑΝΤΕΒΟΥ!$H$3:$H$102&lt;&gt;"Ακυρώθηκε")),21)),"")</f>
        <v/>
      </c>
      <c r="D25" s="32" t="str">
        <f>IFERROR(INDEX(ΡΑΝΤΕΒΟΥ!$E$3:$E$102,_xlfn.AGGREGATE(15,6,(ROW(ΡΑΝΤΕΒΟΥ!$C$3:$C$102)-ROW(ΡΑΝΤΕΒΟΥ!$C$3)+1)/((ΡΑΝΤΕΒΟΥ!$B$3:$B$102=$B$2)*(ΡΑΝΤΕΒΟΥ!$H$3:$H$102&lt;&gt;"Ακυρώθηκε")),21)),"")</f>
        <v/>
      </c>
      <c r="E25" s="34" t="str">
        <f>IFERROR(INDEX(ΡΑΝΤΕΒΟΥ!$F$3:$F$102,_xlfn.AGGREGATE(15,6,(ROW(ΡΑΝΤΕΒΟΥ!$C$3:$C$102)-ROW(ΡΑΝΤΕΒΟΥ!$C$3)+1)/((ΡΑΝΤΕΒΟΥ!$B$3:$B$102=$B$2)*(ΡΑΝΤΕΒΟΥ!$H$3:$H$102&lt;&gt;"Ακυρώθηκε")),21)),"")</f>
        <v/>
      </c>
      <c r="F25" s="35" t="str">
        <f>IFERROR(INDEX(ΡΑΝΤΕΒΟΥ!$H$3:$H$102,_xlfn.AGGREGATE(15,6,(ROW(ΡΑΝΤΕΒΟΥ!$C$3:$C$102)-ROW(ΡΑΝΤΕΒΟΥ!$C$3)+1)/((ΡΑΝΤΕΒΟΥ!$B$3:$B$102=$B$2)*(ΡΑΝΤΕΒΟΥ!$H$3:$H$102&lt;&gt;"Ακυρώθηκε")),21)),"")</f>
        <v/>
      </c>
      <c r="G25" s="36"/>
    </row>
    <row r="26" spans="1:7" ht="15" customHeight="1" x14ac:dyDescent="0.25">
      <c r="A26" s="23" t="str">
        <f>IF($B26="","",22)</f>
        <v/>
      </c>
      <c r="B26" s="32" t="str">
        <f>IFERROR(INDEX(ΡΑΝΤΕΒΟΥ!$C$3:$C$102,_xlfn.AGGREGATE(15,6,(ROW(ΡΑΝΤΕΒΟΥ!$C$3:$C$102)-ROW(ΡΑΝΤΕΒΟΥ!$C$3)+1)/((ΡΑΝΤΕΒΟΥ!$B$3:$B$102=$B$2)*(ΡΑΝΤΕΒΟΥ!$H$3:$H$102&lt;&gt;"Ακυρώθηκε")),22)),"")</f>
        <v/>
      </c>
      <c r="C26" s="33" t="str">
        <f>IFERROR(INDEX(ΡΑΝΤΕΒΟΥ!$D$3:$D$102,_xlfn.AGGREGATE(15,6,(ROW(ΡΑΝΤΕΒΟΥ!$C$3:$C$102)-ROW(ΡΑΝΤΕΒΟΥ!$C$3)+1)/((ΡΑΝΤΕΒΟΥ!$B$3:$B$102=$B$2)*(ΡΑΝΤΕΒΟΥ!$H$3:$H$102&lt;&gt;"Ακυρώθηκε")),22)),"")</f>
        <v/>
      </c>
      <c r="D26" s="32" t="str">
        <f>IFERROR(INDEX(ΡΑΝΤΕΒΟΥ!$E$3:$E$102,_xlfn.AGGREGATE(15,6,(ROW(ΡΑΝΤΕΒΟΥ!$C$3:$C$102)-ROW(ΡΑΝΤΕΒΟΥ!$C$3)+1)/((ΡΑΝΤΕΒΟΥ!$B$3:$B$102=$B$2)*(ΡΑΝΤΕΒΟΥ!$H$3:$H$102&lt;&gt;"Ακυρώθηκε")),22)),"")</f>
        <v/>
      </c>
      <c r="E26" s="34" t="str">
        <f>IFERROR(INDEX(ΡΑΝΤΕΒΟΥ!$F$3:$F$102,_xlfn.AGGREGATE(15,6,(ROW(ΡΑΝΤΕΒΟΥ!$C$3:$C$102)-ROW(ΡΑΝΤΕΒΟΥ!$C$3)+1)/((ΡΑΝΤΕΒΟΥ!$B$3:$B$102=$B$2)*(ΡΑΝΤΕΒΟΥ!$H$3:$H$102&lt;&gt;"Ακυρώθηκε")),22)),"")</f>
        <v/>
      </c>
      <c r="F26" s="35" t="str">
        <f>IFERROR(INDEX(ΡΑΝΤΕΒΟΥ!$H$3:$H$102,_xlfn.AGGREGATE(15,6,(ROW(ΡΑΝΤΕΒΟΥ!$C$3:$C$102)-ROW(ΡΑΝΤΕΒΟΥ!$C$3)+1)/((ΡΑΝΤΕΒΟΥ!$B$3:$B$102=$B$2)*(ΡΑΝΤΕΒΟΥ!$H$3:$H$102&lt;&gt;"Ακυρώθηκε")),22)),"")</f>
        <v/>
      </c>
      <c r="G26" s="36"/>
    </row>
    <row r="27" spans="1:7" ht="15" customHeight="1" x14ac:dyDescent="0.25">
      <c r="A27" s="23" t="str">
        <f>IF($B27="","",23)</f>
        <v/>
      </c>
      <c r="B27" s="32" t="str">
        <f>IFERROR(INDEX(ΡΑΝΤΕΒΟΥ!$C$3:$C$102,_xlfn.AGGREGATE(15,6,(ROW(ΡΑΝΤΕΒΟΥ!$C$3:$C$102)-ROW(ΡΑΝΤΕΒΟΥ!$C$3)+1)/((ΡΑΝΤΕΒΟΥ!$B$3:$B$102=$B$2)*(ΡΑΝΤΕΒΟΥ!$H$3:$H$102&lt;&gt;"Ακυρώθηκε")),23)),"")</f>
        <v/>
      </c>
      <c r="C27" s="33" t="str">
        <f>IFERROR(INDEX(ΡΑΝΤΕΒΟΥ!$D$3:$D$102,_xlfn.AGGREGATE(15,6,(ROW(ΡΑΝΤΕΒΟΥ!$C$3:$C$102)-ROW(ΡΑΝΤΕΒΟΥ!$C$3)+1)/((ΡΑΝΤΕΒΟΥ!$B$3:$B$102=$B$2)*(ΡΑΝΤΕΒΟΥ!$H$3:$H$102&lt;&gt;"Ακυρώθηκε")),23)),"")</f>
        <v/>
      </c>
      <c r="D27" s="32" t="str">
        <f>IFERROR(INDEX(ΡΑΝΤΕΒΟΥ!$E$3:$E$102,_xlfn.AGGREGATE(15,6,(ROW(ΡΑΝΤΕΒΟΥ!$C$3:$C$102)-ROW(ΡΑΝΤΕΒΟΥ!$C$3)+1)/((ΡΑΝΤΕΒΟΥ!$B$3:$B$102=$B$2)*(ΡΑΝΤΕΒΟΥ!$H$3:$H$102&lt;&gt;"Ακυρώθηκε")),23)),"")</f>
        <v/>
      </c>
      <c r="E27" s="34" t="str">
        <f>IFERROR(INDEX(ΡΑΝΤΕΒΟΥ!$F$3:$F$102,_xlfn.AGGREGATE(15,6,(ROW(ΡΑΝΤΕΒΟΥ!$C$3:$C$102)-ROW(ΡΑΝΤΕΒΟΥ!$C$3)+1)/((ΡΑΝΤΕΒΟΥ!$B$3:$B$102=$B$2)*(ΡΑΝΤΕΒΟΥ!$H$3:$H$102&lt;&gt;"Ακυρώθηκε")),23)),"")</f>
        <v/>
      </c>
      <c r="F27" s="35" t="str">
        <f>IFERROR(INDEX(ΡΑΝΤΕΒΟΥ!$H$3:$H$102,_xlfn.AGGREGATE(15,6,(ROW(ΡΑΝΤΕΒΟΥ!$C$3:$C$102)-ROW(ΡΑΝΤΕΒΟΥ!$C$3)+1)/((ΡΑΝΤΕΒΟΥ!$B$3:$B$102=$B$2)*(ΡΑΝΤΕΒΟΥ!$H$3:$H$102&lt;&gt;"Ακυρώθηκε")),23)),"")</f>
        <v/>
      </c>
      <c r="G27" s="36"/>
    </row>
    <row r="28" spans="1:7" ht="15" customHeight="1" x14ac:dyDescent="0.25">
      <c r="A28" s="23" t="str">
        <f>IF($B28="","",24)</f>
        <v/>
      </c>
      <c r="B28" s="32" t="str">
        <f>IFERROR(INDEX(ΡΑΝΤΕΒΟΥ!$C$3:$C$102,_xlfn.AGGREGATE(15,6,(ROW(ΡΑΝΤΕΒΟΥ!$C$3:$C$102)-ROW(ΡΑΝΤΕΒΟΥ!$C$3)+1)/((ΡΑΝΤΕΒΟΥ!$B$3:$B$102=$B$2)*(ΡΑΝΤΕΒΟΥ!$H$3:$H$102&lt;&gt;"Ακυρώθηκε")),24)),"")</f>
        <v/>
      </c>
      <c r="C28" s="33" t="str">
        <f>IFERROR(INDEX(ΡΑΝΤΕΒΟΥ!$D$3:$D$102,_xlfn.AGGREGATE(15,6,(ROW(ΡΑΝΤΕΒΟΥ!$C$3:$C$102)-ROW(ΡΑΝΤΕΒΟΥ!$C$3)+1)/((ΡΑΝΤΕΒΟΥ!$B$3:$B$102=$B$2)*(ΡΑΝΤΕΒΟΥ!$H$3:$H$102&lt;&gt;"Ακυρώθηκε")),24)),"")</f>
        <v/>
      </c>
      <c r="D28" s="32" t="str">
        <f>IFERROR(INDEX(ΡΑΝΤΕΒΟΥ!$E$3:$E$102,_xlfn.AGGREGATE(15,6,(ROW(ΡΑΝΤΕΒΟΥ!$C$3:$C$102)-ROW(ΡΑΝΤΕΒΟΥ!$C$3)+1)/((ΡΑΝΤΕΒΟΥ!$B$3:$B$102=$B$2)*(ΡΑΝΤΕΒΟΥ!$H$3:$H$102&lt;&gt;"Ακυρώθηκε")),24)),"")</f>
        <v/>
      </c>
      <c r="E28" s="34" t="str">
        <f>IFERROR(INDEX(ΡΑΝΤΕΒΟΥ!$F$3:$F$102,_xlfn.AGGREGATE(15,6,(ROW(ΡΑΝΤΕΒΟΥ!$C$3:$C$102)-ROW(ΡΑΝΤΕΒΟΥ!$C$3)+1)/((ΡΑΝΤΕΒΟΥ!$B$3:$B$102=$B$2)*(ΡΑΝΤΕΒΟΥ!$H$3:$H$102&lt;&gt;"Ακυρώθηκε")),24)),"")</f>
        <v/>
      </c>
      <c r="F28" s="35" t="str">
        <f>IFERROR(INDEX(ΡΑΝΤΕΒΟΥ!$H$3:$H$102,_xlfn.AGGREGATE(15,6,(ROW(ΡΑΝΤΕΒΟΥ!$C$3:$C$102)-ROW(ΡΑΝΤΕΒΟΥ!$C$3)+1)/((ΡΑΝΤΕΒΟΥ!$B$3:$B$102=$B$2)*(ΡΑΝΤΕΒΟΥ!$H$3:$H$102&lt;&gt;"Ακυρώθηκε")),24)),"")</f>
        <v/>
      </c>
      <c r="G28" s="36"/>
    </row>
    <row r="29" spans="1:7" ht="15" customHeight="1" x14ac:dyDescent="0.25">
      <c r="A29" s="23" t="str">
        <f>IF($B29="","",25)</f>
        <v/>
      </c>
      <c r="B29" s="32" t="str">
        <f>IFERROR(INDEX(ΡΑΝΤΕΒΟΥ!$C$3:$C$102,_xlfn.AGGREGATE(15,6,(ROW(ΡΑΝΤΕΒΟΥ!$C$3:$C$102)-ROW(ΡΑΝΤΕΒΟΥ!$C$3)+1)/((ΡΑΝΤΕΒΟΥ!$B$3:$B$102=$B$2)*(ΡΑΝΤΕΒΟΥ!$H$3:$H$102&lt;&gt;"Ακυρώθηκε")),25)),"")</f>
        <v/>
      </c>
      <c r="C29" s="33" t="str">
        <f>IFERROR(INDEX(ΡΑΝΤΕΒΟΥ!$D$3:$D$102,_xlfn.AGGREGATE(15,6,(ROW(ΡΑΝΤΕΒΟΥ!$C$3:$C$102)-ROW(ΡΑΝΤΕΒΟΥ!$C$3)+1)/((ΡΑΝΤΕΒΟΥ!$B$3:$B$102=$B$2)*(ΡΑΝΤΕΒΟΥ!$H$3:$H$102&lt;&gt;"Ακυρώθηκε")),25)),"")</f>
        <v/>
      </c>
      <c r="D29" s="32" t="str">
        <f>IFERROR(INDEX(ΡΑΝΤΕΒΟΥ!$E$3:$E$102,_xlfn.AGGREGATE(15,6,(ROW(ΡΑΝΤΕΒΟΥ!$C$3:$C$102)-ROW(ΡΑΝΤΕΒΟΥ!$C$3)+1)/((ΡΑΝΤΕΒΟΥ!$B$3:$B$102=$B$2)*(ΡΑΝΤΕΒΟΥ!$H$3:$H$102&lt;&gt;"Ακυρώθηκε")),25)),"")</f>
        <v/>
      </c>
      <c r="E29" s="34" t="str">
        <f>IFERROR(INDEX(ΡΑΝΤΕΒΟΥ!$F$3:$F$102,_xlfn.AGGREGATE(15,6,(ROW(ΡΑΝΤΕΒΟΥ!$C$3:$C$102)-ROW(ΡΑΝΤΕΒΟΥ!$C$3)+1)/((ΡΑΝΤΕΒΟΥ!$B$3:$B$102=$B$2)*(ΡΑΝΤΕΒΟΥ!$H$3:$H$102&lt;&gt;"Ακυρώθηκε")),25)),"")</f>
        <v/>
      </c>
      <c r="F29" s="35" t="str">
        <f>IFERROR(INDEX(ΡΑΝΤΕΒΟΥ!$H$3:$H$102,_xlfn.AGGREGATE(15,6,(ROW(ΡΑΝΤΕΒΟΥ!$C$3:$C$102)-ROW(ΡΑΝΤΕΒΟΥ!$C$3)+1)/((ΡΑΝΤΕΒΟΥ!$B$3:$B$102=$B$2)*(ΡΑΝΤΕΒΟΥ!$H$3:$H$102&lt;&gt;"Ακυρώθηκε")),25)),"")</f>
        <v/>
      </c>
      <c r="G29" s="36"/>
    </row>
    <row r="30" spans="1:7" ht="15" customHeight="1" x14ac:dyDescent="0.25">
      <c r="A30" s="23" t="str">
        <f>IF($B30="","",26)</f>
        <v/>
      </c>
      <c r="B30" s="32" t="str">
        <f>IFERROR(INDEX(ΡΑΝΤΕΒΟΥ!$C$3:$C$102,_xlfn.AGGREGATE(15,6,(ROW(ΡΑΝΤΕΒΟΥ!$C$3:$C$102)-ROW(ΡΑΝΤΕΒΟΥ!$C$3)+1)/((ΡΑΝΤΕΒΟΥ!$B$3:$B$102=$B$2)*(ΡΑΝΤΕΒΟΥ!$H$3:$H$102&lt;&gt;"Ακυρώθηκε")),26)),"")</f>
        <v/>
      </c>
      <c r="C30" s="33" t="str">
        <f>IFERROR(INDEX(ΡΑΝΤΕΒΟΥ!$D$3:$D$102,_xlfn.AGGREGATE(15,6,(ROW(ΡΑΝΤΕΒΟΥ!$C$3:$C$102)-ROW(ΡΑΝΤΕΒΟΥ!$C$3)+1)/((ΡΑΝΤΕΒΟΥ!$B$3:$B$102=$B$2)*(ΡΑΝΤΕΒΟΥ!$H$3:$H$102&lt;&gt;"Ακυρώθηκε")),26)),"")</f>
        <v/>
      </c>
      <c r="D30" s="32" t="str">
        <f>IFERROR(INDEX(ΡΑΝΤΕΒΟΥ!$E$3:$E$102,_xlfn.AGGREGATE(15,6,(ROW(ΡΑΝΤΕΒΟΥ!$C$3:$C$102)-ROW(ΡΑΝΤΕΒΟΥ!$C$3)+1)/((ΡΑΝΤΕΒΟΥ!$B$3:$B$102=$B$2)*(ΡΑΝΤΕΒΟΥ!$H$3:$H$102&lt;&gt;"Ακυρώθηκε")),26)),"")</f>
        <v/>
      </c>
      <c r="E30" s="34" t="str">
        <f>IFERROR(INDEX(ΡΑΝΤΕΒΟΥ!$F$3:$F$102,_xlfn.AGGREGATE(15,6,(ROW(ΡΑΝΤΕΒΟΥ!$C$3:$C$102)-ROW(ΡΑΝΤΕΒΟΥ!$C$3)+1)/((ΡΑΝΤΕΒΟΥ!$B$3:$B$102=$B$2)*(ΡΑΝΤΕΒΟΥ!$H$3:$H$102&lt;&gt;"Ακυρώθηκε")),26)),"")</f>
        <v/>
      </c>
      <c r="F30" s="35" t="str">
        <f>IFERROR(INDEX(ΡΑΝΤΕΒΟΥ!$H$3:$H$102,_xlfn.AGGREGATE(15,6,(ROW(ΡΑΝΤΕΒΟΥ!$C$3:$C$102)-ROW(ΡΑΝΤΕΒΟΥ!$C$3)+1)/((ΡΑΝΤΕΒΟΥ!$B$3:$B$102=$B$2)*(ΡΑΝΤΕΒΟΥ!$H$3:$H$102&lt;&gt;"Ακυρώθηκε")),26)),"")</f>
        <v/>
      </c>
      <c r="G30" s="36"/>
    </row>
    <row r="31" spans="1:7" ht="15" customHeight="1" x14ac:dyDescent="0.25">
      <c r="A31" s="23" t="str">
        <f>IF($B31="","",27)</f>
        <v/>
      </c>
      <c r="B31" s="32" t="str">
        <f>IFERROR(INDEX(ΡΑΝΤΕΒΟΥ!$C$3:$C$102,_xlfn.AGGREGATE(15,6,(ROW(ΡΑΝΤΕΒΟΥ!$C$3:$C$102)-ROW(ΡΑΝΤΕΒΟΥ!$C$3)+1)/((ΡΑΝΤΕΒΟΥ!$B$3:$B$102=$B$2)*(ΡΑΝΤΕΒΟΥ!$H$3:$H$102&lt;&gt;"Ακυρώθηκε")),27)),"")</f>
        <v/>
      </c>
      <c r="C31" s="33" t="str">
        <f>IFERROR(INDEX(ΡΑΝΤΕΒΟΥ!$D$3:$D$102,_xlfn.AGGREGATE(15,6,(ROW(ΡΑΝΤΕΒΟΥ!$C$3:$C$102)-ROW(ΡΑΝΤΕΒΟΥ!$C$3)+1)/((ΡΑΝΤΕΒΟΥ!$B$3:$B$102=$B$2)*(ΡΑΝΤΕΒΟΥ!$H$3:$H$102&lt;&gt;"Ακυρώθηκε")),27)),"")</f>
        <v/>
      </c>
      <c r="D31" s="32" t="str">
        <f>IFERROR(INDEX(ΡΑΝΤΕΒΟΥ!$E$3:$E$102,_xlfn.AGGREGATE(15,6,(ROW(ΡΑΝΤΕΒΟΥ!$C$3:$C$102)-ROW(ΡΑΝΤΕΒΟΥ!$C$3)+1)/((ΡΑΝΤΕΒΟΥ!$B$3:$B$102=$B$2)*(ΡΑΝΤΕΒΟΥ!$H$3:$H$102&lt;&gt;"Ακυρώθηκε")),27)),"")</f>
        <v/>
      </c>
      <c r="E31" s="34" t="str">
        <f>IFERROR(INDEX(ΡΑΝΤΕΒΟΥ!$F$3:$F$102,_xlfn.AGGREGATE(15,6,(ROW(ΡΑΝΤΕΒΟΥ!$C$3:$C$102)-ROW(ΡΑΝΤΕΒΟΥ!$C$3)+1)/((ΡΑΝΤΕΒΟΥ!$B$3:$B$102=$B$2)*(ΡΑΝΤΕΒΟΥ!$H$3:$H$102&lt;&gt;"Ακυρώθηκε")),27)),"")</f>
        <v/>
      </c>
      <c r="F31" s="35" t="str">
        <f>IFERROR(INDEX(ΡΑΝΤΕΒΟΥ!$H$3:$H$102,_xlfn.AGGREGATE(15,6,(ROW(ΡΑΝΤΕΒΟΥ!$C$3:$C$102)-ROW(ΡΑΝΤΕΒΟΥ!$C$3)+1)/((ΡΑΝΤΕΒΟΥ!$B$3:$B$102=$B$2)*(ΡΑΝΤΕΒΟΥ!$H$3:$H$102&lt;&gt;"Ακυρώθηκε")),27)),"")</f>
        <v/>
      </c>
      <c r="G31" s="36"/>
    </row>
    <row r="32" spans="1:7" ht="15" customHeight="1" x14ac:dyDescent="0.25">
      <c r="A32" s="23" t="str">
        <f>IF($B32="","",28)</f>
        <v/>
      </c>
      <c r="B32" s="32" t="str">
        <f>IFERROR(INDEX(ΡΑΝΤΕΒΟΥ!$C$3:$C$102,_xlfn.AGGREGATE(15,6,(ROW(ΡΑΝΤΕΒΟΥ!$C$3:$C$102)-ROW(ΡΑΝΤΕΒΟΥ!$C$3)+1)/((ΡΑΝΤΕΒΟΥ!$B$3:$B$102=$B$2)*(ΡΑΝΤΕΒΟΥ!$H$3:$H$102&lt;&gt;"Ακυρώθηκε")),28)),"")</f>
        <v/>
      </c>
      <c r="C32" s="33" t="str">
        <f>IFERROR(INDEX(ΡΑΝΤΕΒΟΥ!$D$3:$D$102,_xlfn.AGGREGATE(15,6,(ROW(ΡΑΝΤΕΒΟΥ!$C$3:$C$102)-ROW(ΡΑΝΤΕΒΟΥ!$C$3)+1)/((ΡΑΝΤΕΒΟΥ!$B$3:$B$102=$B$2)*(ΡΑΝΤΕΒΟΥ!$H$3:$H$102&lt;&gt;"Ακυρώθηκε")),28)),"")</f>
        <v/>
      </c>
      <c r="D32" s="32" t="str">
        <f>IFERROR(INDEX(ΡΑΝΤΕΒΟΥ!$E$3:$E$102,_xlfn.AGGREGATE(15,6,(ROW(ΡΑΝΤΕΒΟΥ!$C$3:$C$102)-ROW(ΡΑΝΤΕΒΟΥ!$C$3)+1)/((ΡΑΝΤΕΒΟΥ!$B$3:$B$102=$B$2)*(ΡΑΝΤΕΒΟΥ!$H$3:$H$102&lt;&gt;"Ακυρώθηκε")),28)),"")</f>
        <v/>
      </c>
      <c r="E32" s="34" t="str">
        <f>IFERROR(INDEX(ΡΑΝΤΕΒΟΥ!$F$3:$F$102,_xlfn.AGGREGATE(15,6,(ROW(ΡΑΝΤΕΒΟΥ!$C$3:$C$102)-ROW(ΡΑΝΤΕΒΟΥ!$C$3)+1)/((ΡΑΝΤΕΒΟΥ!$B$3:$B$102=$B$2)*(ΡΑΝΤΕΒΟΥ!$H$3:$H$102&lt;&gt;"Ακυρώθηκε")),28)),"")</f>
        <v/>
      </c>
      <c r="F32" s="35" t="str">
        <f>IFERROR(INDEX(ΡΑΝΤΕΒΟΥ!$H$3:$H$102,_xlfn.AGGREGATE(15,6,(ROW(ΡΑΝΤΕΒΟΥ!$C$3:$C$102)-ROW(ΡΑΝΤΕΒΟΥ!$C$3)+1)/((ΡΑΝΤΕΒΟΥ!$B$3:$B$102=$B$2)*(ΡΑΝΤΕΒΟΥ!$H$3:$H$102&lt;&gt;"Ακυρώθηκε")),28)),"")</f>
        <v/>
      </c>
      <c r="G32" s="36"/>
    </row>
    <row r="33" spans="1:7" ht="15" customHeight="1" x14ac:dyDescent="0.25">
      <c r="A33" s="23" t="str">
        <f>IF($B33="","",29)</f>
        <v/>
      </c>
      <c r="B33" s="32" t="str">
        <f>IFERROR(INDEX(ΡΑΝΤΕΒΟΥ!$C$3:$C$102,_xlfn.AGGREGATE(15,6,(ROW(ΡΑΝΤΕΒΟΥ!$C$3:$C$102)-ROW(ΡΑΝΤΕΒΟΥ!$C$3)+1)/((ΡΑΝΤΕΒΟΥ!$B$3:$B$102=$B$2)*(ΡΑΝΤΕΒΟΥ!$H$3:$H$102&lt;&gt;"Ακυρώθηκε")),29)),"")</f>
        <v/>
      </c>
      <c r="C33" s="33" t="str">
        <f>IFERROR(INDEX(ΡΑΝΤΕΒΟΥ!$D$3:$D$102,_xlfn.AGGREGATE(15,6,(ROW(ΡΑΝΤΕΒΟΥ!$C$3:$C$102)-ROW(ΡΑΝΤΕΒΟΥ!$C$3)+1)/((ΡΑΝΤΕΒΟΥ!$B$3:$B$102=$B$2)*(ΡΑΝΤΕΒΟΥ!$H$3:$H$102&lt;&gt;"Ακυρώθηκε")),29)),"")</f>
        <v/>
      </c>
      <c r="D33" s="32" t="str">
        <f>IFERROR(INDEX(ΡΑΝΤΕΒΟΥ!$E$3:$E$102,_xlfn.AGGREGATE(15,6,(ROW(ΡΑΝΤΕΒΟΥ!$C$3:$C$102)-ROW(ΡΑΝΤΕΒΟΥ!$C$3)+1)/((ΡΑΝΤΕΒΟΥ!$B$3:$B$102=$B$2)*(ΡΑΝΤΕΒΟΥ!$H$3:$H$102&lt;&gt;"Ακυρώθηκε")),29)),"")</f>
        <v/>
      </c>
      <c r="E33" s="34" t="str">
        <f>IFERROR(INDEX(ΡΑΝΤΕΒΟΥ!$F$3:$F$102,_xlfn.AGGREGATE(15,6,(ROW(ΡΑΝΤΕΒΟΥ!$C$3:$C$102)-ROW(ΡΑΝΤΕΒΟΥ!$C$3)+1)/((ΡΑΝΤΕΒΟΥ!$B$3:$B$102=$B$2)*(ΡΑΝΤΕΒΟΥ!$H$3:$H$102&lt;&gt;"Ακυρώθηκε")),29)),"")</f>
        <v/>
      </c>
      <c r="F33" s="35" t="str">
        <f>IFERROR(INDEX(ΡΑΝΤΕΒΟΥ!$H$3:$H$102,_xlfn.AGGREGATE(15,6,(ROW(ΡΑΝΤΕΒΟΥ!$C$3:$C$102)-ROW(ΡΑΝΤΕΒΟΥ!$C$3)+1)/((ΡΑΝΤΕΒΟΥ!$B$3:$B$102=$B$2)*(ΡΑΝΤΕΒΟΥ!$H$3:$H$102&lt;&gt;"Ακυρώθηκε")),29)),"")</f>
        <v/>
      </c>
      <c r="G33" s="36"/>
    </row>
    <row r="34" spans="1:7" ht="15" customHeight="1" x14ac:dyDescent="0.25">
      <c r="A34" s="23" t="str">
        <f>IF($B34="","",30)</f>
        <v/>
      </c>
      <c r="B34" s="32" t="str">
        <f>IFERROR(INDEX(ΡΑΝΤΕΒΟΥ!$C$3:$C$102,_xlfn.AGGREGATE(15,6,(ROW(ΡΑΝΤΕΒΟΥ!$C$3:$C$102)-ROW(ΡΑΝΤΕΒΟΥ!$C$3)+1)/((ΡΑΝΤΕΒΟΥ!$B$3:$B$102=$B$2)*(ΡΑΝΤΕΒΟΥ!$H$3:$H$102&lt;&gt;"Ακυρώθηκε")),30)),"")</f>
        <v/>
      </c>
      <c r="C34" s="33" t="str">
        <f>IFERROR(INDEX(ΡΑΝΤΕΒΟΥ!$D$3:$D$102,_xlfn.AGGREGATE(15,6,(ROW(ΡΑΝΤΕΒΟΥ!$C$3:$C$102)-ROW(ΡΑΝΤΕΒΟΥ!$C$3)+1)/((ΡΑΝΤΕΒΟΥ!$B$3:$B$102=$B$2)*(ΡΑΝΤΕΒΟΥ!$H$3:$H$102&lt;&gt;"Ακυρώθηκε")),30)),"")</f>
        <v/>
      </c>
      <c r="D34" s="32" t="str">
        <f>IFERROR(INDEX(ΡΑΝΤΕΒΟΥ!$E$3:$E$102,_xlfn.AGGREGATE(15,6,(ROW(ΡΑΝΤΕΒΟΥ!$C$3:$C$102)-ROW(ΡΑΝΤΕΒΟΥ!$C$3)+1)/((ΡΑΝΤΕΒΟΥ!$B$3:$B$102=$B$2)*(ΡΑΝΤΕΒΟΥ!$H$3:$H$102&lt;&gt;"Ακυρώθηκε")),30)),"")</f>
        <v/>
      </c>
      <c r="E34" s="34" t="str">
        <f>IFERROR(INDEX(ΡΑΝΤΕΒΟΥ!$F$3:$F$102,_xlfn.AGGREGATE(15,6,(ROW(ΡΑΝΤΕΒΟΥ!$C$3:$C$102)-ROW(ΡΑΝΤΕΒΟΥ!$C$3)+1)/((ΡΑΝΤΕΒΟΥ!$B$3:$B$102=$B$2)*(ΡΑΝΤΕΒΟΥ!$H$3:$H$102&lt;&gt;"Ακυρώθηκε")),30)),"")</f>
        <v/>
      </c>
      <c r="F34" s="35" t="str">
        <f>IFERROR(INDEX(ΡΑΝΤΕΒΟΥ!$H$3:$H$102,_xlfn.AGGREGATE(15,6,(ROW(ΡΑΝΤΕΒΟΥ!$C$3:$C$102)-ROW(ΡΑΝΤΕΒΟΥ!$C$3)+1)/((ΡΑΝΤΕΒΟΥ!$B$3:$B$102=$B$2)*(ΡΑΝΤΕΒΟΥ!$H$3:$H$102&lt;&gt;"Ακυρώθηκε")),30)),"")</f>
        <v/>
      </c>
      <c r="G34" s="36"/>
    </row>
    <row r="35" spans="1:7" ht="15" customHeight="1" x14ac:dyDescent="0.25">
      <c r="A35" s="23" t="str">
        <f>IF($B35="","",31)</f>
        <v/>
      </c>
      <c r="B35" s="32" t="str">
        <f>IFERROR(INDEX(ΡΑΝΤΕΒΟΥ!$C$3:$C$102,_xlfn.AGGREGATE(15,6,(ROW(ΡΑΝΤΕΒΟΥ!$C$3:$C$102)-ROW(ΡΑΝΤΕΒΟΥ!$C$3)+1)/((ΡΑΝΤΕΒΟΥ!$B$3:$B$102=$B$2)*(ΡΑΝΤΕΒΟΥ!$H$3:$H$102&lt;&gt;"Ακυρώθηκε")),31)),"")</f>
        <v/>
      </c>
      <c r="C35" s="33" t="str">
        <f>IFERROR(INDEX(ΡΑΝΤΕΒΟΥ!$D$3:$D$102,_xlfn.AGGREGATE(15,6,(ROW(ΡΑΝΤΕΒΟΥ!$C$3:$C$102)-ROW(ΡΑΝΤΕΒΟΥ!$C$3)+1)/((ΡΑΝΤΕΒΟΥ!$B$3:$B$102=$B$2)*(ΡΑΝΤΕΒΟΥ!$H$3:$H$102&lt;&gt;"Ακυρώθηκε")),31)),"")</f>
        <v/>
      </c>
      <c r="D35" s="32" t="str">
        <f>IFERROR(INDEX(ΡΑΝΤΕΒΟΥ!$E$3:$E$102,_xlfn.AGGREGATE(15,6,(ROW(ΡΑΝΤΕΒΟΥ!$C$3:$C$102)-ROW(ΡΑΝΤΕΒΟΥ!$C$3)+1)/((ΡΑΝΤΕΒΟΥ!$B$3:$B$102=$B$2)*(ΡΑΝΤΕΒΟΥ!$H$3:$H$102&lt;&gt;"Ακυρώθηκε")),31)),"")</f>
        <v/>
      </c>
      <c r="E35" s="34" t="str">
        <f>IFERROR(INDEX(ΡΑΝΤΕΒΟΥ!$F$3:$F$102,_xlfn.AGGREGATE(15,6,(ROW(ΡΑΝΤΕΒΟΥ!$C$3:$C$102)-ROW(ΡΑΝΤΕΒΟΥ!$C$3)+1)/((ΡΑΝΤΕΒΟΥ!$B$3:$B$102=$B$2)*(ΡΑΝΤΕΒΟΥ!$H$3:$H$102&lt;&gt;"Ακυρώθηκε")),31)),"")</f>
        <v/>
      </c>
      <c r="F35" s="35" t="str">
        <f>IFERROR(INDEX(ΡΑΝΤΕΒΟΥ!$H$3:$H$102,_xlfn.AGGREGATE(15,6,(ROW(ΡΑΝΤΕΒΟΥ!$C$3:$C$102)-ROW(ΡΑΝΤΕΒΟΥ!$C$3)+1)/((ΡΑΝΤΕΒΟΥ!$B$3:$B$102=$B$2)*(ΡΑΝΤΕΒΟΥ!$H$3:$H$102&lt;&gt;"Ακυρώθηκε")),31)),"")</f>
        <v/>
      </c>
      <c r="G35" s="36"/>
    </row>
    <row r="36" spans="1:7" ht="15" customHeight="1" x14ac:dyDescent="0.25">
      <c r="A36" s="23" t="str">
        <f>IF($B36="","",32)</f>
        <v/>
      </c>
      <c r="B36" s="32" t="str">
        <f>IFERROR(INDEX(ΡΑΝΤΕΒΟΥ!$C$3:$C$102,_xlfn.AGGREGATE(15,6,(ROW(ΡΑΝΤΕΒΟΥ!$C$3:$C$102)-ROW(ΡΑΝΤΕΒΟΥ!$C$3)+1)/((ΡΑΝΤΕΒΟΥ!$B$3:$B$102=$B$2)*(ΡΑΝΤΕΒΟΥ!$H$3:$H$102&lt;&gt;"Ακυρώθηκε")),32)),"")</f>
        <v/>
      </c>
      <c r="C36" s="33" t="str">
        <f>IFERROR(INDEX(ΡΑΝΤΕΒΟΥ!$D$3:$D$102,_xlfn.AGGREGATE(15,6,(ROW(ΡΑΝΤΕΒΟΥ!$C$3:$C$102)-ROW(ΡΑΝΤΕΒΟΥ!$C$3)+1)/((ΡΑΝΤΕΒΟΥ!$B$3:$B$102=$B$2)*(ΡΑΝΤΕΒΟΥ!$H$3:$H$102&lt;&gt;"Ακυρώθηκε")),32)),"")</f>
        <v/>
      </c>
      <c r="D36" s="32" t="str">
        <f>IFERROR(INDEX(ΡΑΝΤΕΒΟΥ!$E$3:$E$102,_xlfn.AGGREGATE(15,6,(ROW(ΡΑΝΤΕΒΟΥ!$C$3:$C$102)-ROW(ΡΑΝΤΕΒΟΥ!$C$3)+1)/((ΡΑΝΤΕΒΟΥ!$B$3:$B$102=$B$2)*(ΡΑΝΤΕΒΟΥ!$H$3:$H$102&lt;&gt;"Ακυρώθηκε")),32)),"")</f>
        <v/>
      </c>
      <c r="E36" s="34" t="str">
        <f>IFERROR(INDEX(ΡΑΝΤΕΒΟΥ!$F$3:$F$102,_xlfn.AGGREGATE(15,6,(ROW(ΡΑΝΤΕΒΟΥ!$C$3:$C$102)-ROW(ΡΑΝΤΕΒΟΥ!$C$3)+1)/((ΡΑΝΤΕΒΟΥ!$B$3:$B$102=$B$2)*(ΡΑΝΤΕΒΟΥ!$H$3:$H$102&lt;&gt;"Ακυρώθηκε")),32)),"")</f>
        <v/>
      </c>
      <c r="F36" s="35" t="str">
        <f>IFERROR(INDEX(ΡΑΝΤΕΒΟΥ!$H$3:$H$102,_xlfn.AGGREGATE(15,6,(ROW(ΡΑΝΤΕΒΟΥ!$C$3:$C$102)-ROW(ΡΑΝΤΕΒΟΥ!$C$3)+1)/((ΡΑΝΤΕΒΟΥ!$B$3:$B$102=$B$2)*(ΡΑΝΤΕΒΟΥ!$H$3:$H$102&lt;&gt;"Ακυρώθηκε")),32)),"")</f>
        <v/>
      </c>
      <c r="G36" s="36"/>
    </row>
    <row r="37" spans="1:7" ht="15" customHeight="1" x14ac:dyDescent="0.25">
      <c r="A37" s="23" t="str">
        <f>IF($B37="","",33)</f>
        <v/>
      </c>
      <c r="B37" s="32" t="str">
        <f>IFERROR(INDEX(ΡΑΝΤΕΒΟΥ!$C$3:$C$102,_xlfn.AGGREGATE(15,6,(ROW(ΡΑΝΤΕΒΟΥ!$C$3:$C$102)-ROW(ΡΑΝΤΕΒΟΥ!$C$3)+1)/((ΡΑΝΤΕΒΟΥ!$B$3:$B$102=$B$2)*(ΡΑΝΤΕΒΟΥ!$H$3:$H$102&lt;&gt;"Ακυρώθηκε")),33)),"")</f>
        <v/>
      </c>
      <c r="C37" s="33" t="str">
        <f>IFERROR(INDEX(ΡΑΝΤΕΒΟΥ!$D$3:$D$102,_xlfn.AGGREGATE(15,6,(ROW(ΡΑΝΤΕΒΟΥ!$C$3:$C$102)-ROW(ΡΑΝΤΕΒΟΥ!$C$3)+1)/((ΡΑΝΤΕΒΟΥ!$B$3:$B$102=$B$2)*(ΡΑΝΤΕΒΟΥ!$H$3:$H$102&lt;&gt;"Ακυρώθηκε")),33)),"")</f>
        <v/>
      </c>
      <c r="D37" s="32" t="str">
        <f>IFERROR(INDEX(ΡΑΝΤΕΒΟΥ!$E$3:$E$102,_xlfn.AGGREGATE(15,6,(ROW(ΡΑΝΤΕΒΟΥ!$C$3:$C$102)-ROW(ΡΑΝΤΕΒΟΥ!$C$3)+1)/((ΡΑΝΤΕΒΟΥ!$B$3:$B$102=$B$2)*(ΡΑΝΤΕΒΟΥ!$H$3:$H$102&lt;&gt;"Ακυρώθηκε")),33)),"")</f>
        <v/>
      </c>
      <c r="E37" s="34" t="str">
        <f>IFERROR(INDEX(ΡΑΝΤΕΒΟΥ!$F$3:$F$102,_xlfn.AGGREGATE(15,6,(ROW(ΡΑΝΤΕΒΟΥ!$C$3:$C$102)-ROW(ΡΑΝΤΕΒΟΥ!$C$3)+1)/((ΡΑΝΤΕΒΟΥ!$B$3:$B$102=$B$2)*(ΡΑΝΤΕΒΟΥ!$H$3:$H$102&lt;&gt;"Ακυρώθηκε")),33)),"")</f>
        <v/>
      </c>
      <c r="F37" s="35" t="str">
        <f>IFERROR(INDEX(ΡΑΝΤΕΒΟΥ!$H$3:$H$102,_xlfn.AGGREGATE(15,6,(ROW(ΡΑΝΤΕΒΟΥ!$C$3:$C$102)-ROW(ΡΑΝΤΕΒΟΥ!$C$3)+1)/((ΡΑΝΤΕΒΟΥ!$B$3:$B$102=$B$2)*(ΡΑΝΤΕΒΟΥ!$H$3:$H$102&lt;&gt;"Ακυρώθηκε")),33)),"")</f>
        <v/>
      </c>
      <c r="G37" s="36"/>
    </row>
    <row r="38" spans="1:7" ht="15" customHeight="1" x14ac:dyDescent="0.25">
      <c r="A38" s="23" t="str">
        <f>IF($B38="","",34)</f>
        <v/>
      </c>
      <c r="B38" s="32" t="str">
        <f>IFERROR(INDEX(ΡΑΝΤΕΒΟΥ!$C$3:$C$102,_xlfn.AGGREGATE(15,6,(ROW(ΡΑΝΤΕΒΟΥ!$C$3:$C$102)-ROW(ΡΑΝΤΕΒΟΥ!$C$3)+1)/((ΡΑΝΤΕΒΟΥ!$B$3:$B$102=$B$2)*(ΡΑΝΤΕΒΟΥ!$H$3:$H$102&lt;&gt;"Ακυρώθηκε")),34)),"")</f>
        <v/>
      </c>
      <c r="C38" s="33" t="str">
        <f>IFERROR(INDEX(ΡΑΝΤΕΒΟΥ!$D$3:$D$102,_xlfn.AGGREGATE(15,6,(ROW(ΡΑΝΤΕΒΟΥ!$C$3:$C$102)-ROW(ΡΑΝΤΕΒΟΥ!$C$3)+1)/((ΡΑΝΤΕΒΟΥ!$B$3:$B$102=$B$2)*(ΡΑΝΤΕΒΟΥ!$H$3:$H$102&lt;&gt;"Ακυρώθηκε")),34)),"")</f>
        <v/>
      </c>
      <c r="D38" s="32" t="str">
        <f>IFERROR(INDEX(ΡΑΝΤΕΒΟΥ!$E$3:$E$102,_xlfn.AGGREGATE(15,6,(ROW(ΡΑΝΤΕΒΟΥ!$C$3:$C$102)-ROW(ΡΑΝΤΕΒΟΥ!$C$3)+1)/((ΡΑΝΤΕΒΟΥ!$B$3:$B$102=$B$2)*(ΡΑΝΤΕΒΟΥ!$H$3:$H$102&lt;&gt;"Ακυρώθηκε")),34)),"")</f>
        <v/>
      </c>
      <c r="E38" s="34" t="str">
        <f>IFERROR(INDEX(ΡΑΝΤΕΒΟΥ!$F$3:$F$102,_xlfn.AGGREGATE(15,6,(ROW(ΡΑΝΤΕΒΟΥ!$C$3:$C$102)-ROW(ΡΑΝΤΕΒΟΥ!$C$3)+1)/((ΡΑΝΤΕΒΟΥ!$B$3:$B$102=$B$2)*(ΡΑΝΤΕΒΟΥ!$H$3:$H$102&lt;&gt;"Ακυρώθηκε")),34)),"")</f>
        <v/>
      </c>
      <c r="F38" s="35" t="str">
        <f>IFERROR(INDEX(ΡΑΝΤΕΒΟΥ!$H$3:$H$102,_xlfn.AGGREGATE(15,6,(ROW(ΡΑΝΤΕΒΟΥ!$C$3:$C$102)-ROW(ΡΑΝΤΕΒΟΥ!$C$3)+1)/((ΡΑΝΤΕΒΟΥ!$B$3:$B$102=$B$2)*(ΡΑΝΤΕΒΟΥ!$H$3:$H$102&lt;&gt;"Ακυρώθηκε")),34)),"")</f>
        <v/>
      </c>
      <c r="G38" s="36"/>
    </row>
    <row r="39" spans="1:7" ht="15" customHeight="1" x14ac:dyDescent="0.25">
      <c r="A39" s="23" t="str">
        <f>IF($B39="","",35)</f>
        <v/>
      </c>
      <c r="B39" s="32" t="str">
        <f>IFERROR(INDEX(ΡΑΝΤΕΒΟΥ!$C$3:$C$102,_xlfn.AGGREGATE(15,6,(ROW(ΡΑΝΤΕΒΟΥ!$C$3:$C$102)-ROW(ΡΑΝΤΕΒΟΥ!$C$3)+1)/((ΡΑΝΤΕΒΟΥ!$B$3:$B$102=$B$2)*(ΡΑΝΤΕΒΟΥ!$H$3:$H$102&lt;&gt;"Ακυρώθηκε")),35)),"")</f>
        <v/>
      </c>
      <c r="C39" s="33" t="str">
        <f>IFERROR(INDEX(ΡΑΝΤΕΒΟΥ!$D$3:$D$102,_xlfn.AGGREGATE(15,6,(ROW(ΡΑΝΤΕΒΟΥ!$C$3:$C$102)-ROW(ΡΑΝΤΕΒΟΥ!$C$3)+1)/((ΡΑΝΤΕΒΟΥ!$B$3:$B$102=$B$2)*(ΡΑΝΤΕΒΟΥ!$H$3:$H$102&lt;&gt;"Ακυρώθηκε")),35)),"")</f>
        <v/>
      </c>
      <c r="D39" s="32" t="str">
        <f>IFERROR(INDEX(ΡΑΝΤΕΒΟΥ!$E$3:$E$102,_xlfn.AGGREGATE(15,6,(ROW(ΡΑΝΤΕΒΟΥ!$C$3:$C$102)-ROW(ΡΑΝΤΕΒΟΥ!$C$3)+1)/((ΡΑΝΤΕΒΟΥ!$B$3:$B$102=$B$2)*(ΡΑΝΤΕΒΟΥ!$H$3:$H$102&lt;&gt;"Ακυρώθηκε")),35)),"")</f>
        <v/>
      </c>
      <c r="E39" s="34" t="str">
        <f>IFERROR(INDEX(ΡΑΝΤΕΒΟΥ!$F$3:$F$102,_xlfn.AGGREGATE(15,6,(ROW(ΡΑΝΤΕΒΟΥ!$C$3:$C$102)-ROW(ΡΑΝΤΕΒΟΥ!$C$3)+1)/((ΡΑΝΤΕΒΟΥ!$B$3:$B$102=$B$2)*(ΡΑΝΤΕΒΟΥ!$H$3:$H$102&lt;&gt;"Ακυρώθηκε")),35)),"")</f>
        <v/>
      </c>
      <c r="F39" s="35" t="str">
        <f>IFERROR(INDEX(ΡΑΝΤΕΒΟΥ!$H$3:$H$102,_xlfn.AGGREGATE(15,6,(ROW(ΡΑΝΤΕΒΟΥ!$C$3:$C$102)-ROW(ΡΑΝΤΕΒΟΥ!$C$3)+1)/((ΡΑΝΤΕΒΟΥ!$B$3:$B$102=$B$2)*(ΡΑΝΤΕΒΟΥ!$H$3:$H$102&lt;&gt;"Ακυρώθηκε")),35)),"")</f>
        <v/>
      </c>
      <c r="G39" s="36"/>
    </row>
    <row r="40" spans="1:7" ht="15" customHeight="1" x14ac:dyDescent="0.25">
      <c r="A40" s="23" t="str">
        <f>IF($B40="","",36)</f>
        <v/>
      </c>
      <c r="B40" s="32" t="str">
        <f>IFERROR(INDEX(ΡΑΝΤΕΒΟΥ!$C$3:$C$102,_xlfn.AGGREGATE(15,6,(ROW(ΡΑΝΤΕΒΟΥ!$C$3:$C$102)-ROW(ΡΑΝΤΕΒΟΥ!$C$3)+1)/((ΡΑΝΤΕΒΟΥ!$B$3:$B$102=$B$2)*(ΡΑΝΤΕΒΟΥ!$H$3:$H$102&lt;&gt;"Ακυρώθηκε")),36)),"")</f>
        <v/>
      </c>
      <c r="C40" s="33" t="str">
        <f>IFERROR(INDEX(ΡΑΝΤΕΒΟΥ!$D$3:$D$102,_xlfn.AGGREGATE(15,6,(ROW(ΡΑΝΤΕΒΟΥ!$C$3:$C$102)-ROW(ΡΑΝΤΕΒΟΥ!$C$3)+1)/((ΡΑΝΤΕΒΟΥ!$B$3:$B$102=$B$2)*(ΡΑΝΤΕΒΟΥ!$H$3:$H$102&lt;&gt;"Ακυρώθηκε")),36)),"")</f>
        <v/>
      </c>
      <c r="D40" s="32" t="str">
        <f>IFERROR(INDEX(ΡΑΝΤΕΒΟΥ!$E$3:$E$102,_xlfn.AGGREGATE(15,6,(ROW(ΡΑΝΤΕΒΟΥ!$C$3:$C$102)-ROW(ΡΑΝΤΕΒΟΥ!$C$3)+1)/((ΡΑΝΤΕΒΟΥ!$B$3:$B$102=$B$2)*(ΡΑΝΤΕΒΟΥ!$H$3:$H$102&lt;&gt;"Ακυρώθηκε")),36)),"")</f>
        <v/>
      </c>
      <c r="E40" s="34" t="str">
        <f>IFERROR(INDEX(ΡΑΝΤΕΒΟΥ!$F$3:$F$102,_xlfn.AGGREGATE(15,6,(ROW(ΡΑΝΤΕΒΟΥ!$C$3:$C$102)-ROW(ΡΑΝΤΕΒΟΥ!$C$3)+1)/((ΡΑΝΤΕΒΟΥ!$B$3:$B$102=$B$2)*(ΡΑΝΤΕΒΟΥ!$H$3:$H$102&lt;&gt;"Ακυρώθηκε")),36)),"")</f>
        <v/>
      </c>
      <c r="F40" s="35" t="str">
        <f>IFERROR(INDEX(ΡΑΝΤΕΒΟΥ!$H$3:$H$102,_xlfn.AGGREGATE(15,6,(ROW(ΡΑΝΤΕΒΟΥ!$C$3:$C$102)-ROW(ΡΑΝΤΕΒΟΥ!$C$3)+1)/((ΡΑΝΤΕΒΟΥ!$B$3:$B$102=$B$2)*(ΡΑΝΤΕΒΟΥ!$H$3:$H$102&lt;&gt;"Ακυρώθηκε")),36)),"")</f>
        <v/>
      </c>
      <c r="G40" s="36"/>
    </row>
    <row r="41" spans="1:7" ht="15" customHeight="1" x14ac:dyDescent="0.25">
      <c r="A41" s="23" t="str">
        <f>IF($B41="","",37)</f>
        <v/>
      </c>
      <c r="B41" s="32" t="str">
        <f>IFERROR(INDEX(ΡΑΝΤΕΒΟΥ!$C$3:$C$102,_xlfn.AGGREGATE(15,6,(ROW(ΡΑΝΤΕΒΟΥ!$C$3:$C$102)-ROW(ΡΑΝΤΕΒΟΥ!$C$3)+1)/((ΡΑΝΤΕΒΟΥ!$B$3:$B$102=$B$2)*(ΡΑΝΤΕΒΟΥ!$H$3:$H$102&lt;&gt;"Ακυρώθηκε")),37)),"")</f>
        <v/>
      </c>
      <c r="C41" s="33" t="str">
        <f>IFERROR(INDEX(ΡΑΝΤΕΒΟΥ!$D$3:$D$102,_xlfn.AGGREGATE(15,6,(ROW(ΡΑΝΤΕΒΟΥ!$C$3:$C$102)-ROW(ΡΑΝΤΕΒΟΥ!$C$3)+1)/((ΡΑΝΤΕΒΟΥ!$B$3:$B$102=$B$2)*(ΡΑΝΤΕΒΟΥ!$H$3:$H$102&lt;&gt;"Ακυρώθηκε")),37)),"")</f>
        <v/>
      </c>
      <c r="D41" s="32" t="str">
        <f>IFERROR(INDEX(ΡΑΝΤΕΒΟΥ!$E$3:$E$102,_xlfn.AGGREGATE(15,6,(ROW(ΡΑΝΤΕΒΟΥ!$C$3:$C$102)-ROW(ΡΑΝΤΕΒΟΥ!$C$3)+1)/((ΡΑΝΤΕΒΟΥ!$B$3:$B$102=$B$2)*(ΡΑΝΤΕΒΟΥ!$H$3:$H$102&lt;&gt;"Ακυρώθηκε")),37)),"")</f>
        <v/>
      </c>
      <c r="E41" s="34" t="str">
        <f>IFERROR(INDEX(ΡΑΝΤΕΒΟΥ!$F$3:$F$102,_xlfn.AGGREGATE(15,6,(ROW(ΡΑΝΤΕΒΟΥ!$C$3:$C$102)-ROW(ΡΑΝΤΕΒΟΥ!$C$3)+1)/((ΡΑΝΤΕΒΟΥ!$B$3:$B$102=$B$2)*(ΡΑΝΤΕΒΟΥ!$H$3:$H$102&lt;&gt;"Ακυρώθηκε")),37)),"")</f>
        <v/>
      </c>
      <c r="F41" s="35" t="str">
        <f>IFERROR(INDEX(ΡΑΝΤΕΒΟΥ!$H$3:$H$102,_xlfn.AGGREGATE(15,6,(ROW(ΡΑΝΤΕΒΟΥ!$C$3:$C$102)-ROW(ΡΑΝΤΕΒΟΥ!$C$3)+1)/((ΡΑΝΤΕΒΟΥ!$B$3:$B$102=$B$2)*(ΡΑΝΤΕΒΟΥ!$H$3:$H$102&lt;&gt;"Ακυρώθηκε")),37)),"")</f>
        <v/>
      </c>
      <c r="G41" s="36"/>
    </row>
    <row r="42" spans="1:7" ht="15" customHeight="1" x14ac:dyDescent="0.25">
      <c r="A42" s="23" t="str">
        <f>IF($B42="","",38)</f>
        <v/>
      </c>
      <c r="B42" s="32" t="str">
        <f>IFERROR(INDEX(ΡΑΝΤΕΒΟΥ!$C$3:$C$102,_xlfn.AGGREGATE(15,6,(ROW(ΡΑΝΤΕΒΟΥ!$C$3:$C$102)-ROW(ΡΑΝΤΕΒΟΥ!$C$3)+1)/((ΡΑΝΤΕΒΟΥ!$B$3:$B$102=$B$2)*(ΡΑΝΤΕΒΟΥ!$H$3:$H$102&lt;&gt;"Ακυρώθηκε")),38)),"")</f>
        <v/>
      </c>
      <c r="C42" s="33" t="str">
        <f>IFERROR(INDEX(ΡΑΝΤΕΒΟΥ!$D$3:$D$102,_xlfn.AGGREGATE(15,6,(ROW(ΡΑΝΤΕΒΟΥ!$C$3:$C$102)-ROW(ΡΑΝΤΕΒΟΥ!$C$3)+1)/((ΡΑΝΤΕΒΟΥ!$B$3:$B$102=$B$2)*(ΡΑΝΤΕΒΟΥ!$H$3:$H$102&lt;&gt;"Ακυρώθηκε")),38)),"")</f>
        <v/>
      </c>
      <c r="D42" s="32" t="str">
        <f>IFERROR(INDEX(ΡΑΝΤΕΒΟΥ!$E$3:$E$102,_xlfn.AGGREGATE(15,6,(ROW(ΡΑΝΤΕΒΟΥ!$C$3:$C$102)-ROW(ΡΑΝΤΕΒΟΥ!$C$3)+1)/((ΡΑΝΤΕΒΟΥ!$B$3:$B$102=$B$2)*(ΡΑΝΤΕΒΟΥ!$H$3:$H$102&lt;&gt;"Ακυρώθηκε")),38)),"")</f>
        <v/>
      </c>
      <c r="E42" s="34" t="str">
        <f>IFERROR(INDEX(ΡΑΝΤΕΒΟΥ!$F$3:$F$102,_xlfn.AGGREGATE(15,6,(ROW(ΡΑΝΤΕΒΟΥ!$C$3:$C$102)-ROW(ΡΑΝΤΕΒΟΥ!$C$3)+1)/((ΡΑΝΤΕΒΟΥ!$B$3:$B$102=$B$2)*(ΡΑΝΤΕΒΟΥ!$H$3:$H$102&lt;&gt;"Ακυρώθηκε")),38)),"")</f>
        <v/>
      </c>
      <c r="F42" s="35" t="str">
        <f>IFERROR(INDEX(ΡΑΝΤΕΒΟΥ!$H$3:$H$102,_xlfn.AGGREGATE(15,6,(ROW(ΡΑΝΤΕΒΟΥ!$C$3:$C$102)-ROW(ΡΑΝΤΕΒΟΥ!$C$3)+1)/((ΡΑΝΤΕΒΟΥ!$B$3:$B$102=$B$2)*(ΡΑΝΤΕΒΟΥ!$H$3:$H$102&lt;&gt;"Ακυρώθηκε")),38)),"")</f>
        <v/>
      </c>
      <c r="G42" s="36"/>
    </row>
    <row r="43" spans="1:7" ht="15" customHeight="1" x14ac:dyDescent="0.25">
      <c r="A43" s="23" t="str">
        <f>IF($B43="","",39)</f>
        <v/>
      </c>
      <c r="B43" s="32" t="str">
        <f>IFERROR(INDEX(ΡΑΝΤΕΒΟΥ!$C$3:$C$102,_xlfn.AGGREGATE(15,6,(ROW(ΡΑΝΤΕΒΟΥ!$C$3:$C$102)-ROW(ΡΑΝΤΕΒΟΥ!$C$3)+1)/((ΡΑΝΤΕΒΟΥ!$B$3:$B$102=$B$2)*(ΡΑΝΤΕΒΟΥ!$H$3:$H$102&lt;&gt;"Ακυρώθηκε")),39)),"")</f>
        <v/>
      </c>
      <c r="C43" s="33" t="str">
        <f>IFERROR(INDEX(ΡΑΝΤΕΒΟΥ!$D$3:$D$102,_xlfn.AGGREGATE(15,6,(ROW(ΡΑΝΤΕΒΟΥ!$C$3:$C$102)-ROW(ΡΑΝΤΕΒΟΥ!$C$3)+1)/((ΡΑΝΤΕΒΟΥ!$B$3:$B$102=$B$2)*(ΡΑΝΤΕΒΟΥ!$H$3:$H$102&lt;&gt;"Ακυρώθηκε")),39)),"")</f>
        <v/>
      </c>
      <c r="D43" s="32" t="str">
        <f>IFERROR(INDEX(ΡΑΝΤΕΒΟΥ!$E$3:$E$102,_xlfn.AGGREGATE(15,6,(ROW(ΡΑΝΤΕΒΟΥ!$C$3:$C$102)-ROW(ΡΑΝΤΕΒΟΥ!$C$3)+1)/((ΡΑΝΤΕΒΟΥ!$B$3:$B$102=$B$2)*(ΡΑΝΤΕΒΟΥ!$H$3:$H$102&lt;&gt;"Ακυρώθηκε")),39)),"")</f>
        <v/>
      </c>
      <c r="E43" s="34" t="str">
        <f>IFERROR(INDEX(ΡΑΝΤΕΒΟΥ!$F$3:$F$102,_xlfn.AGGREGATE(15,6,(ROW(ΡΑΝΤΕΒΟΥ!$C$3:$C$102)-ROW(ΡΑΝΤΕΒΟΥ!$C$3)+1)/((ΡΑΝΤΕΒΟΥ!$B$3:$B$102=$B$2)*(ΡΑΝΤΕΒΟΥ!$H$3:$H$102&lt;&gt;"Ακυρώθηκε")),39)),"")</f>
        <v/>
      </c>
      <c r="F43" s="35" t="str">
        <f>IFERROR(INDEX(ΡΑΝΤΕΒΟΥ!$H$3:$H$102,_xlfn.AGGREGATE(15,6,(ROW(ΡΑΝΤΕΒΟΥ!$C$3:$C$102)-ROW(ΡΑΝΤΕΒΟΥ!$C$3)+1)/((ΡΑΝΤΕΒΟΥ!$B$3:$B$102=$B$2)*(ΡΑΝΤΕΒΟΥ!$H$3:$H$102&lt;&gt;"Ακυρώθηκε")),39)),"")</f>
        <v/>
      </c>
      <c r="G43" s="36"/>
    </row>
    <row r="44" spans="1:7" ht="15" customHeight="1" x14ac:dyDescent="0.25">
      <c r="A44" s="23" t="str">
        <f>IF($B44="","",40)</f>
        <v/>
      </c>
      <c r="B44" s="32" t="str">
        <f>IFERROR(INDEX(ΡΑΝΤΕΒΟΥ!$C$3:$C$102,_xlfn.AGGREGATE(15,6,(ROW(ΡΑΝΤΕΒΟΥ!$C$3:$C$102)-ROW(ΡΑΝΤΕΒΟΥ!$C$3)+1)/((ΡΑΝΤΕΒΟΥ!$B$3:$B$102=$B$2)*(ΡΑΝΤΕΒΟΥ!$H$3:$H$102&lt;&gt;"Ακυρώθηκε")),40)),"")</f>
        <v/>
      </c>
      <c r="C44" s="33" t="str">
        <f>IFERROR(INDEX(ΡΑΝΤΕΒΟΥ!$D$3:$D$102,_xlfn.AGGREGATE(15,6,(ROW(ΡΑΝΤΕΒΟΥ!$C$3:$C$102)-ROW(ΡΑΝΤΕΒΟΥ!$C$3)+1)/((ΡΑΝΤΕΒΟΥ!$B$3:$B$102=$B$2)*(ΡΑΝΤΕΒΟΥ!$H$3:$H$102&lt;&gt;"Ακυρώθηκε")),40)),"")</f>
        <v/>
      </c>
      <c r="D44" s="32" t="str">
        <f>IFERROR(INDEX(ΡΑΝΤΕΒΟΥ!$E$3:$E$102,_xlfn.AGGREGATE(15,6,(ROW(ΡΑΝΤΕΒΟΥ!$C$3:$C$102)-ROW(ΡΑΝΤΕΒΟΥ!$C$3)+1)/((ΡΑΝΤΕΒΟΥ!$B$3:$B$102=$B$2)*(ΡΑΝΤΕΒΟΥ!$H$3:$H$102&lt;&gt;"Ακυρώθηκε")),40)),"")</f>
        <v/>
      </c>
      <c r="E44" s="34" t="str">
        <f>IFERROR(INDEX(ΡΑΝΤΕΒΟΥ!$F$3:$F$102,_xlfn.AGGREGATE(15,6,(ROW(ΡΑΝΤΕΒΟΥ!$C$3:$C$102)-ROW(ΡΑΝΤΕΒΟΥ!$C$3)+1)/((ΡΑΝΤΕΒΟΥ!$B$3:$B$102=$B$2)*(ΡΑΝΤΕΒΟΥ!$H$3:$H$102&lt;&gt;"Ακυρώθηκε")),40)),"")</f>
        <v/>
      </c>
      <c r="F44" s="35" t="str">
        <f>IFERROR(INDEX(ΡΑΝΤΕΒΟΥ!$H$3:$H$102,_xlfn.AGGREGATE(15,6,(ROW(ΡΑΝΤΕΒΟΥ!$C$3:$C$102)-ROW(ΡΑΝΤΕΒΟΥ!$C$3)+1)/((ΡΑΝΤΕΒΟΥ!$B$3:$B$102=$B$2)*(ΡΑΝΤΕΒΟΥ!$H$3:$H$102&lt;&gt;"Ακυρώθηκε")),40)),"")</f>
        <v/>
      </c>
      <c r="G44" s="36"/>
    </row>
    <row r="45" spans="1:7" ht="15" customHeight="1" x14ac:dyDescent="0.25">
      <c r="A45" s="23" t="str">
        <f>IF($B45="","",41)</f>
        <v/>
      </c>
      <c r="B45" s="32" t="str">
        <f>IFERROR(INDEX(ΡΑΝΤΕΒΟΥ!$C$3:$C$102,_xlfn.AGGREGATE(15,6,(ROW(ΡΑΝΤΕΒΟΥ!$C$3:$C$102)-ROW(ΡΑΝΤΕΒΟΥ!$C$3)+1)/((ΡΑΝΤΕΒΟΥ!$B$3:$B$102=$B$2)*(ΡΑΝΤΕΒΟΥ!$H$3:$H$102&lt;&gt;"Ακυρώθηκε")),41)),"")</f>
        <v/>
      </c>
      <c r="C45" s="33" t="str">
        <f>IFERROR(INDEX(ΡΑΝΤΕΒΟΥ!$D$3:$D$102,_xlfn.AGGREGATE(15,6,(ROW(ΡΑΝΤΕΒΟΥ!$C$3:$C$102)-ROW(ΡΑΝΤΕΒΟΥ!$C$3)+1)/((ΡΑΝΤΕΒΟΥ!$B$3:$B$102=$B$2)*(ΡΑΝΤΕΒΟΥ!$H$3:$H$102&lt;&gt;"Ακυρώθηκε")),41)),"")</f>
        <v/>
      </c>
      <c r="D45" s="32" t="str">
        <f>IFERROR(INDEX(ΡΑΝΤΕΒΟΥ!$E$3:$E$102,_xlfn.AGGREGATE(15,6,(ROW(ΡΑΝΤΕΒΟΥ!$C$3:$C$102)-ROW(ΡΑΝΤΕΒΟΥ!$C$3)+1)/((ΡΑΝΤΕΒΟΥ!$B$3:$B$102=$B$2)*(ΡΑΝΤΕΒΟΥ!$H$3:$H$102&lt;&gt;"Ακυρώθηκε")),41)),"")</f>
        <v/>
      </c>
      <c r="E45" s="34" t="str">
        <f>IFERROR(INDEX(ΡΑΝΤΕΒΟΥ!$F$3:$F$102,_xlfn.AGGREGATE(15,6,(ROW(ΡΑΝΤΕΒΟΥ!$C$3:$C$102)-ROW(ΡΑΝΤΕΒΟΥ!$C$3)+1)/((ΡΑΝΤΕΒΟΥ!$B$3:$B$102=$B$2)*(ΡΑΝΤΕΒΟΥ!$H$3:$H$102&lt;&gt;"Ακυρώθηκε")),41)),"")</f>
        <v/>
      </c>
      <c r="F45" s="35" t="str">
        <f>IFERROR(INDEX(ΡΑΝΤΕΒΟΥ!$H$3:$H$102,_xlfn.AGGREGATE(15,6,(ROW(ΡΑΝΤΕΒΟΥ!$C$3:$C$102)-ROW(ΡΑΝΤΕΒΟΥ!$C$3)+1)/((ΡΑΝΤΕΒΟΥ!$B$3:$B$102=$B$2)*(ΡΑΝΤΕΒΟΥ!$H$3:$H$102&lt;&gt;"Ακυρώθηκε")),41)),"")</f>
        <v/>
      </c>
      <c r="G45" s="36"/>
    </row>
    <row r="46" spans="1:7" ht="15" customHeight="1" x14ac:dyDescent="0.25">
      <c r="A46" s="23" t="str">
        <f>IF($B46="","",42)</f>
        <v/>
      </c>
      <c r="B46" s="32" t="str">
        <f>IFERROR(INDEX(ΡΑΝΤΕΒΟΥ!$C$3:$C$102,_xlfn.AGGREGATE(15,6,(ROW(ΡΑΝΤΕΒΟΥ!$C$3:$C$102)-ROW(ΡΑΝΤΕΒΟΥ!$C$3)+1)/((ΡΑΝΤΕΒΟΥ!$B$3:$B$102=$B$2)*(ΡΑΝΤΕΒΟΥ!$H$3:$H$102&lt;&gt;"Ακυρώθηκε")),42)),"")</f>
        <v/>
      </c>
      <c r="C46" s="33" t="str">
        <f>IFERROR(INDEX(ΡΑΝΤΕΒΟΥ!$D$3:$D$102,_xlfn.AGGREGATE(15,6,(ROW(ΡΑΝΤΕΒΟΥ!$C$3:$C$102)-ROW(ΡΑΝΤΕΒΟΥ!$C$3)+1)/((ΡΑΝΤΕΒΟΥ!$B$3:$B$102=$B$2)*(ΡΑΝΤΕΒΟΥ!$H$3:$H$102&lt;&gt;"Ακυρώθηκε")),42)),"")</f>
        <v/>
      </c>
      <c r="D46" s="32" t="str">
        <f>IFERROR(INDEX(ΡΑΝΤΕΒΟΥ!$E$3:$E$102,_xlfn.AGGREGATE(15,6,(ROW(ΡΑΝΤΕΒΟΥ!$C$3:$C$102)-ROW(ΡΑΝΤΕΒΟΥ!$C$3)+1)/((ΡΑΝΤΕΒΟΥ!$B$3:$B$102=$B$2)*(ΡΑΝΤΕΒΟΥ!$H$3:$H$102&lt;&gt;"Ακυρώθηκε")),42)),"")</f>
        <v/>
      </c>
      <c r="E46" s="34" t="str">
        <f>IFERROR(INDEX(ΡΑΝΤΕΒΟΥ!$F$3:$F$102,_xlfn.AGGREGATE(15,6,(ROW(ΡΑΝΤΕΒΟΥ!$C$3:$C$102)-ROW(ΡΑΝΤΕΒΟΥ!$C$3)+1)/((ΡΑΝΤΕΒΟΥ!$B$3:$B$102=$B$2)*(ΡΑΝΤΕΒΟΥ!$H$3:$H$102&lt;&gt;"Ακυρώθηκε")),42)),"")</f>
        <v/>
      </c>
      <c r="F46" s="35" t="str">
        <f>IFERROR(INDEX(ΡΑΝΤΕΒΟΥ!$H$3:$H$102,_xlfn.AGGREGATE(15,6,(ROW(ΡΑΝΤΕΒΟΥ!$C$3:$C$102)-ROW(ΡΑΝΤΕΒΟΥ!$C$3)+1)/((ΡΑΝΤΕΒΟΥ!$B$3:$B$102=$B$2)*(ΡΑΝΤΕΒΟΥ!$H$3:$H$102&lt;&gt;"Ακυρώθηκε")),42)),"")</f>
        <v/>
      </c>
      <c r="G46" s="36"/>
    </row>
    <row r="47" spans="1:7" ht="15" customHeight="1" x14ac:dyDescent="0.25">
      <c r="A47" s="23" t="str">
        <f>IF($B47="","",43)</f>
        <v/>
      </c>
      <c r="B47" s="32" t="str">
        <f>IFERROR(INDEX(ΡΑΝΤΕΒΟΥ!$C$3:$C$102,_xlfn.AGGREGATE(15,6,(ROW(ΡΑΝΤΕΒΟΥ!$C$3:$C$102)-ROW(ΡΑΝΤΕΒΟΥ!$C$3)+1)/((ΡΑΝΤΕΒΟΥ!$B$3:$B$102=$B$2)*(ΡΑΝΤΕΒΟΥ!$H$3:$H$102&lt;&gt;"Ακυρώθηκε")),43)),"")</f>
        <v/>
      </c>
      <c r="C47" s="33" t="str">
        <f>IFERROR(INDEX(ΡΑΝΤΕΒΟΥ!$D$3:$D$102,_xlfn.AGGREGATE(15,6,(ROW(ΡΑΝΤΕΒΟΥ!$C$3:$C$102)-ROW(ΡΑΝΤΕΒΟΥ!$C$3)+1)/((ΡΑΝΤΕΒΟΥ!$B$3:$B$102=$B$2)*(ΡΑΝΤΕΒΟΥ!$H$3:$H$102&lt;&gt;"Ακυρώθηκε")),43)),"")</f>
        <v/>
      </c>
      <c r="D47" s="32" t="str">
        <f>IFERROR(INDEX(ΡΑΝΤΕΒΟΥ!$E$3:$E$102,_xlfn.AGGREGATE(15,6,(ROW(ΡΑΝΤΕΒΟΥ!$C$3:$C$102)-ROW(ΡΑΝΤΕΒΟΥ!$C$3)+1)/((ΡΑΝΤΕΒΟΥ!$B$3:$B$102=$B$2)*(ΡΑΝΤΕΒΟΥ!$H$3:$H$102&lt;&gt;"Ακυρώθηκε")),43)),"")</f>
        <v/>
      </c>
      <c r="E47" s="34" t="str">
        <f>IFERROR(INDEX(ΡΑΝΤΕΒΟΥ!$F$3:$F$102,_xlfn.AGGREGATE(15,6,(ROW(ΡΑΝΤΕΒΟΥ!$C$3:$C$102)-ROW(ΡΑΝΤΕΒΟΥ!$C$3)+1)/((ΡΑΝΤΕΒΟΥ!$B$3:$B$102=$B$2)*(ΡΑΝΤΕΒΟΥ!$H$3:$H$102&lt;&gt;"Ακυρώθηκε")),43)),"")</f>
        <v/>
      </c>
      <c r="F47" s="35" t="str">
        <f>IFERROR(INDEX(ΡΑΝΤΕΒΟΥ!$H$3:$H$102,_xlfn.AGGREGATE(15,6,(ROW(ΡΑΝΤΕΒΟΥ!$C$3:$C$102)-ROW(ΡΑΝΤΕΒΟΥ!$C$3)+1)/((ΡΑΝΤΕΒΟΥ!$B$3:$B$102=$B$2)*(ΡΑΝΤΕΒΟΥ!$H$3:$H$102&lt;&gt;"Ακυρώθηκε")),43)),"")</f>
        <v/>
      </c>
      <c r="G47" s="36"/>
    </row>
    <row r="48" spans="1:7" ht="15" customHeight="1" x14ac:dyDescent="0.25">
      <c r="A48" s="23" t="str">
        <f>IF($B48="","",44)</f>
        <v/>
      </c>
      <c r="B48" s="32" t="str">
        <f>IFERROR(INDEX(ΡΑΝΤΕΒΟΥ!$C$3:$C$102,_xlfn.AGGREGATE(15,6,(ROW(ΡΑΝΤΕΒΟΥ!$C$3:$C$102)-ROW(ΡΑΝΤΕΒΟΥ!$C$3)+1)/((ΡΑΝΤΕΒΟΥ!$B$3:$B$102=$B$2)*(ΡΑΝΤΕΒΟΥ!$H$3:$H$102&lt;&gt;"Ακυρώθηκε")),44)),"")</f>
        <v/>
      </c>
      <c r="C48" s="33" t="str">
        <f>IFERROR(INDEX(ΡΑΝΤΕΒΟΥ!$D$3:$D$102,_xlfn.AGGREGATE(15,6,(ROW(ΡΑΝΤΕΒΟΥ!$C$3:$C$102)-ROW(ΡΑΝΤΕΒΟΥ!$C$3)+1)/((ΡΑΝΤΕΒΟΥ!$B$3:$B$102=$B$2)*(ΡΑΝΤΕΒΟΥ!$H$3:$H$102&lt;&gt;"Ακυρώθηκε")),44)),"")</f>
        <v/>
      </c>
      <c r="D48" s="32" t="str">
        <f>IFERROR(INDEX(ΡΑΝΤΕΒΟΥ!$E$3:$E$102,_xlfn.AGGREGATE(15,6,(ROW(ΡΑΝΤΕΒΟΥ!$C$3:$C$102)-ROW(ΡΑΝΤΕΒΟΥ!$C$3)+1)/((ΡΑΝΤΕΒΟΥ!$B$3:$B$102=$B$2)*(ΡΑΝΤΕΒΟΥ!$H$3:$H$102&lt;&gt;"Ακυρώθηκε")),44)),"")</f>
        <v/>
      </c>
      <c r="E48" s="34" t="str">
        <f>IFERROR(INDEX(ΡΑΝΤΕΒΟΥ!$F$3:$F$102,_xlfn.AGGREGATE(15,6,(ROW(ΡΑΝΤΕΒΟΥ!$C$3:$C$102)-ROW(ΡΑΝΤΕΒΟΥ!$C$3)+1)/((ΡΑΝΤΕΒΟΥ!$B$3:$B$102=$B$2)*(ΡΑΝΤΕΒΟΥ!$H$3:$H$102&lt;&gt;"Ακυρώθηκε")),44)),"")</f>
        <v/>
      </c>
      <c r="F48" s="35" t="str">
        <f>IFERROR(INDEX(ΡΑΝΤΕΒΟΥ!$H$3:$H$102,_xlfn.AGGREGATE(15,6,(ROW(ΡΑΝΤΕΒΟΥ!$C$3:$C$102)-ROW(ΡΑΝΤΕΒΟΥ!$C$3)+1)/((ΡΑΝΤΕΒΟΥ!$B$3:$B$102=$B$2)*(ΡΑΝΤΕΒΟΥ!$H$3:$H$102&lt;&gt;"Ακυρώθηκε")),44)),"")</f>
        <v/>
      </c>
      <c r="G48" s="36"/>
    </row>
    <row r="49" spans="1:7" ht="15" customHeight="1" x14ac:dyDescent="0.25">
      <c r="A49" s="23" t="str">
        <f>IF($B49="","",45)</f>
        <v/>
      </c>
      <c r="B49" s="32" t="str">
        <f>IFERROR(INDEX(ΡΑΝΤΕΒΟΥ!$C$3:$C$102,_xlfn.AGGREGATE(15,6,(ROW(ΡΑΝΤΕΒΟΥ!$C$3:$C$102)-ROW(ΡΑΝΤΕΒΟΥ!$C$3)+1)/((ΡΑΝΤΕΒΟΥ!$B$3:$B$102=$B$2)*(ΡΑΝΤΕΒΟΥ!$H$3:$H$102&lt;&gt;"Ακυρώθηκε")),45)),"")</f>
        <v/>
      </c>
      <c r="C49" s="33" t="str">
        <f>IFERROR(INDEX(ΡΑΝΤΕΒΟΥ!$D$3:$D$102,_xlfn.AGGREGATE(15,6,(ROW(ΡΑΝΤΕΒΟΥ!$C$3:$C$102)-ROW(ΡΑΝΤΕΒΟΥ!$C$3)+1)/((ΡΑΝΤΕΒΟΥ!$B$3:$B$102=$B$2)*(ΡΑΝΤΕΒΟΥ!$H$3:$H$102&lt;&gt;"Ακυρώθηκε")),45)),"")</f>
        <v/>
      </c>
      <c r="D49" s="32" t="str">
        <f>IFERROR(INDEX(ΡΑΝΤΕΒΟΥ!$E$3:$E$102,_xlfn.AGGREGATE(15,6,(ROW(ΡΑΝΤΕΒΟΥ!$C$3:$C$102)-ROW(ΡΑΝΤΕΒΟΥ!$C$3)+1)/((ΡΑΝΤΕΒΟΥ!$B$3:$B$102=$B$2)*(ΡΑΝΤΕΒΟΥ!$H$3:$H$102&lt;&gt;"Ακυρώθηκε")),45)),"")</f>
        <v/>
      </c>
      <c r="E49" s="34" t="str">
        <f>IFERROR(INDEX(ΡΑΝΤΕΒΟΥ!$F$3:$F$102,_xlfn.AGGREGATE(15,6,(ROW(ΡΑΝΤΕΒΟΥ!$C$3:$C$102)-ROW(ΡΑΝΤΕΒΟΥ!$C$3)+1)/((ΡΑΝΤΕΒΟΥ!$B$3:$B$102=$B$2)*(ΡΑΝΤΕΒΟΥ!$H$3:$H$102&lt;&gt;"Ακυρώθηκε")),45)),"")</f>
        <v/>
      </c>
      <c r="F49" s="35" t="str">
        <f>IFERROR(INDEX(ΡΑΝΤΕΒΟΥ!$H$3:$H$102,_xlfn.AGGREGATE(15,6,(ROW(ΡΑΝΤΕΒΟΥ!$C$3:$C$102)-ROW(ΡΑΝΤΕΒΟΥ!$C$3)+1)/((ΡΑΝΤΕΒΟΥ!$B$3:$B$102=$B$2)*(ΡΑΝΤΕΒΟΥ!$H$3:$H$102&lt;&gt;"Ακυρώθηκε")),45)),"")</f>
        <v/>
      </c>
      <c r="G49" s="36"/>
    </row>
    <row r="50" spans="1:7" ht="15" customHeight="1" x14ac:dyDescent="0.25">
      <c r="A50" s="23" t="str">
        <f>IF($B50="","",46)</f>
        <v/>
      </c>
      <c r="B50" s="32" t="str">
        <f>IFERROR(INDEX(ΡΑΝΤΕΒΟΥ!$C$3:$C$102,_xlfn.AGGREGATE(15,6,(ROW(ΡΑΝΤΕΒΟΥ!$C$3:$C$102)-ROW(ΡΑΝΤΕΒΟΥ!$C$3)+1)/((ΡΑΝΤΕΒΟΥ!$B$3:$B$102=$B$2)*(ΡΑΝΤΕΒΟΥ!$H$3:$H$102&lt;&gt;"Ακυρώθηκε")),46)),"")</f>
        <v/>
      </c>
      <c r="C50" s="33" t="str">
        <f>IFERROR(INDEX(ΡΑΝΤΕΒΟΥ!$D$3:$D$102,_xlfn.AGGREGATE(15,6,(ROW(ΡΑΝΤΕΒΟΥ!$C$3:$C$102)-ROW(ΡΑΝΤΕΒΟΥ!$C$3)+1)/((ΡΑΝΤΕΒΟΥ!$B$3:$B$102=$B$2)*(ΡΑΝΤΕΒΟΥ!$H$3:$H$102&lt;&gt;"Ακυρώθηκε")),46)),"")</f>
        <v/>
      </c>
      <c r="D50" s="32" t="str">
        <f>IFERROR(INDEX(ΡΑΝΤΕΒΟΥ!$E$3:$E$102,_xlfn.AGGREGATE(15,6,(ROW(ΡΑΝΤΕΒΟΥ!$C$3:$C$102)-ROW(ΡΑΝΤΕΒΟΥ!$C$3)+1)/((ΡΑΝΤΕΒΟΥ!$B$3:$B$102=$B$2)*(ΡΑΝΤΕΒΟΥ!$H$3:$H$102&lt;&gt;"Ακυρώθηκε")),46)),"")</f>
        <v/>
      </c>
      <c r="E50" s="34" t="str">
        <f>IFERROR(INDEX(ΡΑΝΤΕΒΟΥ!$F$3:$F$102,_xlfn.AGGREGATE(15,6,(ROW(ΡΑΝΤΕΒΟΥ!$C$3:$C$102)-ROW(ΡΑΝΤΕΒΟΥ!$C$3)+1)/((ΡΑΝΤΕΒΟΥ!$B$3:$B$102=$B$2)*(ΡΑΝΤΕΒΟΥ!$H$3:$H$102&lt;&gt;"Ακυρώθηκε")),46)),"")</f>
        <v/>
      </c>
      <c r="F50" s="35" t="str">
        <f>IFERROR(INDEX(ΡΑΝΤΕΒΟΥ!$H$3:$H$102,_xlfn.AGGREGATE(15,6,(ROW(ΡΑΝΤΕΒΟΥ!$C$3:$C$102)-ROW(ΡΑΝΤΕΒΟΥ!$C$3)+1)/((ΡΑΝΤΕΒΟΥ!$B$3:$B$102=$B$2)*(ΡΑΝΤΕΒΟΥ!$H$3:$H$102&lt;&gt;"Ακυρώθηκε")),46)),"")</f>
        <v/>
      </c>
      <c r="G50" s="36"/>
    </row>
    <row r="51" spans="1:7" ht="15" customHeight="1" x14ac:dyDescent="0.25">
      <c r="A51" s="23" t="str">
        <f>IF($B51="","",47)</f>
        <v/>
      </c>
      <c r="B51" s="32" t="str">
        <f>IFERROR(INDEX(ΡΑΝΤΕΒΟΥ!$C$3:$C$102,_xlfn.AGGREGATE(15,6,(ROW(ΡΑΝΤΕΒΟΥ!$C$3:$C$102)-ROW(ΡΑΝΤΕΒΟΥ!$C$3)+1)/((ΡΑΝΤΕΒΟΥ!$B$3:$B$102=$B$2)*(ΡΑΝΤΕΒΟΥ!$H$3:$H$102&lt;&gt;"Ακυρώθηκε")),47)),"")</f>
        <v/>
      </c>
      <c r="C51" s="33" t="str">
        <f>IFERROR(INDEX(ΡΑΝΤΕΒΟΥ!$D$3:$D$102,_xlfn.AGGREGATE(15,6,(ROW(ΡΑΝΤΕΒΟΥ!$C$3:$C$102)-ROW(ΡΑΝΤΕΒΟΥ!$C$3)+1)/((ΡΑΝΤΕΒΟΥ!$B$3:$B$102=$B$2)*(ΡΑΝΤΕΒΟΥ!$H$3:$H$102&lt;&gt;"Ακυρώθηκε")),47)),"")</f>
        <v/>
      </c>
      <c r="D51" s="32" t="str">
        <f>IFERROR(INDEX(ΡΑΝΤΕΒΟΥ!$E$3:$E$102,_xlfn.AGGREGATE(15,6,(ROW(ΡΑΝΤΕΒΟΥ!$C$3:$C$102)-ROW(ΡΑΝΤΕΒΟΥ!$C$3)+1)/((ΡΑΝΤΕΒΟΥ!$B$3:$B$102=$B$2)*(ΡΑΝΤΕΒΟΥ!$H$3:$H$102&lt;&gt;"Ακυρώθηκε")),47)),"")</f>
        <v/>
      </c>
      <c r="E51" s="34" t="str">
        <f>IFERROR(INDEX(ΡΑΝΤΕΒΟΥ!$F$3:$F$102,_xlfn.AGGREGATE(15,6,(ROW(ΡΑΝΤΕΒΟΥ!$C$3:$C$102)-ROW(ΡΑΝΤΕΒΟΥ!$C$3)+1)/((ΡΑΝΤΕΒΟΥ!$B$3:$B$102=$B$2)*(ΡΑΝΤΕΒΟΥ!$H$3:$H$102&lt;&gt;"Ακυρώθηκε")),47)),"")</f>
        <v/>
      </c>
      <c r="F51" s="35" t="str">
        <f>IFERROR(INDEX(ΡΑΝΤΕΒΟΥ!$H$3:$H$102,_xlfn.AGGREGATE(15,6,(ROW(ΡΑΝΤΕΒΟΥ!$C$3:$C$102)-ROW(ΡΑΝΤΕΒΟΥ!$C$3)+1)/((ΡΑΝΤΕΒΟΥ!$B$3:$B$102=$B$2)*(ΡΑΝΤΕΒΟΥ!$H$3:$H$102&lt;&gt;"Ακυρώθηκε")),47)),"")</f>
        <v/>
      </c>
      <c r="G51" s="36"/>
    </row>
    <row r="52" spans="1:7" ht="15" customHeight="1" x14ac:dyDescent="0.25">
      <c r="A52" s="23" t="str">
        <f>IF($B52="","",48)</f>
        <v/>
      </c>
      <c r="B52" s="32" t="str">
        <f>IFERROR(INDEX(ΡΑΝΤΕΒΟΥ!$C$3:$C$102,_xlfn.AGGREGATE(15,6,(ROW(ΡΑΝΤΕΒΟΥ!$C$3:$C$102)-ROW(ΡΑΝΤΕΒΟΥ!$C$3)+1)/((ΡΑΝΤΕΒΟΥ!$B$3:$B$102=$B$2)*(ΡΑΝΤΕΒΟΥ!$H$3:$H$102&lt;&gt;"Ακυρώθηκε")),48)),"")</f>
        <v/>
      </c>
      <c r="C52" s="33" t="str">
        <f>IFERROR(INDEX(ΡΑΝΤΕΒΟΥ!$D$3:$D$102,_xlfn.AGGREGATE(15,6,(ROW(ΡΑΝΤΕΒΟΥ!$C$3:$C$102)-ROW(ΡΑΝΤΕΒΟΥ!$C$3)+1)/((ΡΑΝΤΕΒΟΥ!$B$3:$B$102=$B$2)*(ΡΑΝΤΕΒΟΥ!$H$3:$H$102&lt;&gt;"Ακυρώθηκε")),48)),"")</f>
        <v/>
      </c>
      <c r="D52" s="32" t="str">
        <f>IFERROR(INDEX(ΡΑΝΤΕΒΟΥ!$E$3:$E$102,_xlfn.AGGREGATE(15,6,(ROW(ΡΑΝΤΕΒΟΥ!$C$3:$C$102)-ROW(ΡΑΝΤΕΒΟΥ!$C$3)+1)/((ΡΑΝΤΕΒΟΥ!$B$3:$B$102=$B$2)*(ΡΑΝΤΕΒΟΥ!$H$3:$H$102&lt;&gt;"Ακυρώθηκε")),48)),"")</f>
        <v/>
      </c>
      <c r="E52" s="34" t="str">
        <f>IFERROR(INDEX(ΡΑΝΤΕΒΟΥ!$F$3:$F$102,_xlfn.AGGREGATE(15,6,(ROW(ΡΑΝΤΕΒΟΥ!$C$3:$C$102)-ROW(ΡΑΝΤΕΒΟΥ!$C$3)+1)/((ΡΑΝΤΕΒΟΥ!$B$3:$B$102=$B$2)*(ΡΑΝΤΕΒΟΥ!$H$3:$H$102&lt;&gt;"Ακυρώθηκε")),48)),"")</f>
        <v/>
      </c>
      <c r="F52" s="35" t="str">
        <f>IFERROR(INDEX(ΡΑΝΤΕΒΟΥ!$H$3:$H$102,_xlfn.AGGREGATE(15,6,(ROW(ΡΑΝΤΕΒΟΥ!$C$3:$C$102)-ROW(ΡΑΝΤΕΒΟΥ!$C$3)+1)/((ΡΑΝΤΕΒΟΥ!$B$3:$B$102=$B$2)*(ΡΑΝΤΕΒΟΥ!$H$3:$H$102&lt;&gt;"Ακυρώθηκε")),48)),"")</f>
        <v/>
      </c>
      <c r="G52" s="36"/>
    </row>
    <row r="53" spans="1:7" ht="15" customHeight="1" x14ac:dyDescent="0.25">
      <c r="A53" s="23" t="str">
        <f>IF($B53="","",49)</f>
        <v/>
      </c>
      <c r="B53" s="32" t="str">
        <f>IFERROR(INDEX(ΡΑΝΤΕΒΟΥ!$C$3:$C$102,_xlfn.AGGREGATE(15,6,(ROW(ΡΑΝΤΕΒΟΥ!$C$3:$C$102)-ROW(ΡΑΝΤΕΒΟΥ!$C$3)+1)/((ΡΑΝΤΕΒΟΥ!$B$3:$B$102=$B$2)*(ΡΑΝΤΕΒΟΥ!$H$3:$H$102&lt;&gt;"Ακυρώθηκε")),49)),"")</f>
        <v/>
      </c>
      <c r="C53" s="33" t="str">
        <f>IFERROR(INDEX(ΡΑΝΤΕΒΟΥ!$D$3:$D$102,_xlfn.AGGREGATE(15,6,(ROW(ΡΑΝΤΕΒΟΥ!$C$3:$C$102)-ROW(ΡΑΝΤΕΒΟΥ!$C$3)+1)/((ΡΑΝΤΕΒΟΥ!$B$3:$B$102=$B$2)*(ΡΑΝΤΕΒΟΥ!$H$3:$H$102&lt;&gt;"Ακυρώθηκε")),49)),"")</f>
        <v/>
      </c>
      <c r="D53" s="32" t="str">
        <f>IFERROR(INDEX(ΡΑΝΤΕΒΟΥ!$E$3:$E$102,_xlfn.AGGREGATE(15,6,(ROW(ΡΑΝΤΕΒΟΥ!$C$3:$C$102)-ROW(ΡΑΝΤΕΒΟΥ!$C$3)+1)/((ΡΑΝΤΕΒΟΥ!$B$3:$B$102=$B$2)*(ΡΑΝΤΕΒΟΥ!$H$3:$H$102&lt;&gt;"Ακυρώθηκε")),49)),"")</f>
        <v/>
      </c>
      <c r="E53" s="34" t="str">
        <f>IFERROR(INDEX(ΡΑΝΤΕΒΟΥ!$F$3:$F$102,_xlfn.AGGREGATE(15,6,(ROW(ΡΑΝΤΕΒΟΥ!$C$3:$C$102)-ROW(ΡΑΝΤΕΒΟΥ!$C$3)+1)/((ΡΑΝΤΕΒΟΥ!$B$3:$B$102=$B$2)*(ΡΑΝΤΕΒΟΥ!$H$3:$H$102&lt;&gt;"Ακυρώθηκε")),49)),"")</f>
        <v/>
      </c>
      <c r="F53" s="35" t="str">
        <f>IFERROR(INDEX(ΡΑΝΤΕΒΟΥ!$H$3:$H$102,_xlfn.AGGREGATE(15,6,(ROW(ΡΑΝΤΕΒΟΥ!$C$3:$C$102)-ROW(ΡΑΝΤΕΒΟΥ!$C$3)+1)/((ΡΑΝΤΕΒΟΥ!$B$3:$B$102=$B$2)*(ΡΑΝΤΕΒΟΥ!$H$3:$H$102&lt;&gt;"Ακυρώθηκε")),49)),"")</f>
        <v/>
      </c>
      <c r="G53" s="36"/>
    </row>
    <row r="54" spans="1:7" ht="15" customHeight="1" x14ac:dyDescent="0.25">
      <c r="A54" s="23" t="str">
        <f>IF($B54="","",50)</f>
        <v/>
      </c>
      <c r="B54" s="32" t="str">
        <f>IFERROR(INDEX(ΡΑΝΤΕΒΟΥ!$C$3:$C$102,_xlfn.AGGREGATE(15,6,(ROW(ΡΑΝΤΕΒΟΥ!$C$3:$C$102)-ROW(ΡΑΝΤΕΒΟΥ!$C$3)+1)/((ΡΑΝΤΕΒΟΥ!$B$3:$B$102=$B$2)*(ΡΑΝΤΕΒΟΥ!$H$3:$H$102&lt;&gt;"Ακυρώθηκε")),50)),"")</f>
        <v/>
      </c>
      <c r="C54" s="33" t="str">
        <f>IFERROR(INDEX(ΡΑΝΤΕΒΟΥ!$D$3:$D$102,_xlfn.AGGREGATE(15,6,(ROW(ΡΑΝΤΕΒΟΥ!$C$3:$C$102)-ROW(ΡΑΝΤΕΒΟΥ!$C$3)+1)/((ΡΑΝΤΕΒΟΥ!$B$3:$B$102=$B$2)*(ΡΑΝΤΕΒΟΥ!$H$3:$H$102&lt;&gt;"Ακυρώθηκε")),50)),"")</f>
        <v/>
      </c>
      <c r="D54" s="32" t="str">
        <f>IFERROR(INDEX(ΡΑΝΤΕΒΟΥ!$E$3:$E$102,_xlfn.AGGREGATE(15,6,(ROW(ΡΑΝΤΕΒΟΥ!$C$3:$C$102)-ROW(ΡΑΝΤΕΒΟΥ!$C$3)+1)/((ΡΑΝΤΕΒΟΥ!$B$3:$B$102=$B$2)*(ΡΑΝΤΕΒΟΥ!$H$3:$H$102&lt;&gt;"Ακυρώθηκε")),50)),"")</f>
        <v/>
      </c>
      <c r="E54" s="34" t="str">
        <f>IFERROR(INDEX(ΡΑΝΤΕΒΟΥ!$F$3:$F$102,_xlfn.AGGREGATE(15,6,(ROW(ΡΑΝΤΕΒΟΥ!$C$3:$C$102)-ROW(ΡΑΝΤΕΒΟΥ!$C$3)+1)/((ΡΑΝΤΕΒΟΥ!$B$3:$B$102=$B$2)*(ΡΑΝΤΕΒΟΥ!$H$3:$H$102&lt;&gt;"Ακυρώθηκε")),50)),"")</f>
        <v/>
      </c>
      <c r="F54" s="35" t="str">
        <f>IFERROR(INDEX(ΡΑΝΤΕΒΟΥ!$H$3:$H$102,_xlfn.AGGREGATE(15,6,(ROW(ΡΑΝΤΕΒΟΥ!$C$3:$C$102)-ROW(ΡΑΝΤΕΒΟΥ!$C$3)+1)/((ΡΑΝΤΕΒΟΥ!$B$3:$B$102=$B$2)*(ΡΑΝΤΕΒΟΥ!$H$3:$H$102&lt;&gt;"Ακυρώθηκε")),50)),"")</f>
        <v/>
      </c>
      <c r="G54" s="36"/>
    </row>
    <row r="55" spans="1:7" ht="15" customHeight="1" x14ac:dyDescent="0.25">
      <c r="A55" s="23" t="str">
        <f>IF($B55="","",51)</f>
        <v/>
      </c>
      <c r="B55" s="32" t="str">
        <f>IFERROR(INDEX(ΡΑΝΤΕΒΟΥ!$C$3:$C$102,_xlfn.AGGREGATE(15,6,(ROW(ΡΑΝΤΕΒΟΥ!$C$3:$C$102)-ROW(ΡΑΝΤΕΒΟΥ!$C$3)+1)/((ΡΑΝΤΕΒΟΥ!$B$3:$B$102=$B$2)*(ΡΑΝΤΕΒΟΥ!$H$3:$H$102&lt;&gt;"Ακυρώθηκε")),51)),"")</f>
        <v/>
      </c>
      <c r="C55" s="33" t="str">
        <f>IFERROR(INDEX(ΡΑΝΤΕΒΟΥ!$D$3:$D$102,_xlfn.AGGREGATE(15,6,(ROW(ΡΑΝΤΕΒΟΥ!$C$3:$C$102)-ROW(ΡΑΝΤΕΒΟΥ!$C$3)+1)/((ΡΑΝΤΕΒΟΥ!$B$3:$B$102=$B$2)*(ΡΑΝΤΕΒΟΥ!$H$3:$H$102&lt;&gt;"Ακυρώθηκε")),51)),"")</f>
        <v/>
      </c>
      <c r="D55" s="32" t="str">
        <f>IFERROR(INDEX(ΡΑΝΤΕΒΟΥ!$E$3:$E$102,_xlfn.AGGREGATE(15,6,(ROW(ΡΑΝΤΕΒΟΥ!$C$3:$C$102)-ROW(ΡΑΝΤΕΒΟΥ!$C$3)+1)/((ΡΑΝΤΕΒΟΥ!$B$3:$B$102=$B$2)*(ΡΑΝΤΕΒΟΥ!$H$3:$H$102&lt;&gt;"Ακυρώθηκε")),51)),"")</f>
        <v/>
      </c>
      <c r="E55" s="34" t="str">
        <f>IFERROR(INDEX(ΡΑΝΤΕΒΟΥ!$F$3:$F$102,_xlfn.AGGREGATE(15,6,(ROW(ΡΑΝΤΕΒΟΥ!$C$3:$C$102)-ROW(ΡΑΝΤΕΒΟΥ!$C$3)+1)/((ΡΑΝΤΕΒΟΥ!$B$3:$B$102=$B$2)*(ΡΑΝΤΕΒΟΥ!$H$3:$H$102&lt;&gt;"Ακυρώθηκε")),51)),"")</f>
        <v/>
      </c>
      <c r="F55" s="35" t="str">
        <f>IFERROR(INDEX(ΡΑΝΤΕΒΟΥ!$H$3:$H$102,_xlfn.AGGREGATE(15,6,(ROW(ΡΑΝΤΕΒΟΥ!$C$3:$C$102)-ROW(ΡΑΝΤΕΒΟΥ!$C$3)+1)/((ΡΑΝΤΕΒΟΥ!$B$3:$B$102=$B$2)*(ΡΑΝΤΕΒΟΥ!$H$3:$H$102&lt;&gt;"Ακυρώθηκε")),51)),"")</f>
        <v/>
      </c>
      <c r="G55" s="36"/>
    </row>
    <row r="56" spans="1:7" ht="15" customHeight="1" x14ac:dyDescent="0.25">
      <c r="A56" s="23" t="str">
        <f>IF($B56="","",52)</f>
        <v/>
      </c>
      <c r="B56" s="32" t="str">
        <f>IFERROR(INDEX(ΡΑΝΤΕΒΟΥ!$C$3:$C$102,_xlfn.AGGREGATE(15,6,(ROW(ΡΑΝΤΕΒΟΥ!$C$3:$C$102)-ROW(ΡΑΝΤΕΒΟΥ!$C$3)+1)/((ΡΑΝΤΕΒΟΥ!$B$3:$B$102=$B$2)*(ΡΑΝΤΕΒΟΥ!$H$3:$H$102&lt;&gt;"Ακυρώθηκε")),52)),"")</f>
        <v/>
      </c>
      <c r="C56" s="33" t="str">
        <f>IFERROR(INDEX(ΡΑΝΤΕΒΟΥ!$D$3:$D$102,_xlfn.AGGREGATE(15,6,(ROW(ΡΑΝΤΕΒΟΥ!$C$3:$C$102)-ROW(ΡΑΝΤΕΒΟΥ!$C$3)+1)/((ΡΑΝΤΕΒΟΥ!$B$3:$B$102=$B$2)*(ΡΑΝΤΕΒΟΥ!$H$3:$H$102&lt;&gt;"Ακυρώθηκε")),52)),"")</f>
        <v/>
      </c>
      <c r="D56" s="32" t="str">
        <f>IFERROR(INDEX(ΡΑΝΤΕΒΟΥ!$E$3:$E$102,_xlfn.AGGREGATE(15,6,(ROW(ΡΑΝΤΕΒΟΥ!$C$3:$C$102)-ROW(ΡΑΝΤΕΒΟΥ!$C$3)+1)/((ΡΑΝΤΕΒΟΥ!$B$3:$B$102=$B$2)*(ΡΑΝΤΕΒΟΥ!$H$3:$H$102&lt;&gt;"Ακυρώθηκε")),52)),"")</f>
        <v/>
      </c>
      <c r="E56" s="34" t="str">
        <f>IFERROR(INDEX(ΡΑΝΤΕΒΟΥ!$F$3:$F$102,_xlfn.AGGREGATE(15,6,(ROW(ΡΑΝΤΕΒΟΥ!$C$3:$C$102)-ROW(ΡΑΝΤΕΒΟΥ!$C$3)+1)/((ΡΑΝΤΕΒΟΥ!$B$3:$B$102=$B$2)*(ΡΑΝΤΕΒΟΥ!$H$3:$H$102&lt;&gt;"Ακυρώθηκε")),52)),"")</f>
        <v/>
      </c>
      <c r="F56" s="35" t="str">
        <f>IFERROR(INDEX(ΡΑΝΤΕΒΟΥ!$H$3:$H$102,_xlfn.AGGREGATE(15,6,(ROW(ΡΑΝΤΕΒΟΥ!$C$3:$C$102)-ROW(ΡΑΝΤΕΒΟΥ!$C$3)+1)/((ΡΑΝΤΕΒΟΥ!$B$3:$B$102=$B$2)*(ΡΑΝΤΕΒΟΥ!$H$3:$H$102&lt;&gt;"Ακυρώθηκε")),52)),"")</f>
        <v/>
      </c>
      <c r="G56" s="36"/>
    </row>
    <row r="57" spans="1:7" ht="15" customHeight="1" x14ac:dyDescent="0.25">
      <c r="A57" s="23" t="str">
        <f>IF($B57="","",53)</f>
        <v/>
      </c>
      <c r="B57" s="32" t="str">
        <f>IFERROR(INDEX(ΡΑΝΤΕΒΟΥ!$C$3:$C$102,_xlfn.AGGREGATE(15,6,(ROW(ΡΑΝΤΕΒΟΥ!$C$3:$C$102)-ROW(ΡΑΝΤΕΒΟΥ!$C$3)+1)/((ΡΑΝΤΕΒΟΥ!$B$3:$B$102=$B$2)*(ΡΑΝΤΕΒΟΥ!$H$3:$H$102&lt;&gt;"Ακυρώθηκε")),53)),"")</f>
        <v/>
      </c>
      <c r="C57" s="33" t="str">
        <f>IFERROR(INDEX(ΡΑΝΤΕΒΟΥ!$D$3:$D$102,_xlfn.AGGREGATE(15,6,(ROW(ΡΑΝΤΕΒΟΥ!$C$3:$C$102)-ROW(ΡΑΝΤΕΒΟΥ!$C$3)+1)/((ΡΑΝΤΕΒΟΥ!$B$3:$B$102=$B$2)*(ΡΑΝΤΕΒΟΥ!$H$3:$H$102&lt;&gt;"Ακυρώθηκε")),53)),"")</f>
        <v/>
      </c>
      <c r="D57" s="32" t="str">
        <f>IFERROR(INDEX(ΡΑΝΤΕΒΟΥ!$E$3:$E$102,_xlfn.AGGREGATE(15,6,(ROW(ΡΑΝΤΕΒΟΥ!$C$3:$C$102)-ROW(ΡΑΝΤΕΒΟΥ!$C$3)+1)/((ΡΑΝΤΕΒΟΥ!$B$3:$B$102=$B$2)*(ΡΑΝΤΕΒΟΥ!$H$3:$H$102&lt;&gt;"Ακυρώθηκε")),53)),"")</f>
        <v/>
      </c>
      <c r="E57" s="34" t="str">
        <f>IFERROR(INDEX(ΡΑΝΤΕΒΟΥ!$F$3:$F$102,_xlfn.AGGREGATE(15,6,(ROW(ΡΑΝΤΕΒΟΥ!$C$3:$C$102)-ROW(ΡΑΝΤΕΒΟΥ!$C$3)+1)/((ΡΑΝΤΕΒΟΥ!$B$3:$B$102=$B$2)*(ΡΑΝΤΕΒΟΥ!$H$3:$H$102&lt;&gt;"Ακυρώθηκε")),53)),"")</f>
        <v/>
      </c>
      <c r="F57" s="35" t="str">
        <f>IFERROR(INDEX(ΡΑΝΤΕΒΟΥ!$H$3:$H$102,_xlfn.AGGREGATE(15,6,(ROW(ΡΑΝΤΕΒΟΥ!$C$3:$C$102)-ROW(ΡΑΝΤΕΒΟΥ!$C$3)+1)/((ΡΑΝΤΕΒΟΥ!$B$3:$B$102=$B$2)*(ΡΑΝΤΕΒΟΥ!$H$3:$H$102&lt;&gt;"Ακυρώθηκε")),53)),"")</f>
        <v/>
      </c>
      <c r="G57" s="36"/>
    </row>
    <row r="58" spans="1:7" ht="15" customHeight="1" x14ac:dyDescent="0.25">
      <c r="A58" s="23" t="str">
        <f>IF($B58="","",54)</f>
        <v/>
      </c>
      <c r="B58" s="32" t="str">
        <f>IFERROR(INDEX(ΡΑΝΤΕΒΟΥ!$C$3:$C$102,_xlfn.AGGREGATE(15,6,(ROW(ΡΑΝΤΕΒΟΥ!$C$3:$C$102)-ROW(ΡΑΝΤΕΒΟΥ!$C$3)+1)/((ΡΑΝΤΕΒΟΥ!$B$3:$B$102=$B$2)*(ΡΑΝΤΕΒΟΥ!$H$3:$H$102&lt;&gt;"Ακυρώθηκε")),54)),"")</f>
        <v/>
      </c>
      <c r="C58" s="33" t="str">
        <f>IFERROR(INDEX(ΡΑΝΤΕΒΟΥ!$D$3:$D$102,_xlfn.AGGREGATE(15,6,(ROW(ΡΑΝΤΕΒΟΥ!$C$3:$C$102)-ROW(ΡΑΝΤΕΒΟΥ!$C$3)+1)/((ΡΑΝΤΕΒΟΥ!$B$3:$B$102=$B$2)*(ΡΑΝΤΕΒΟΥ!$H$3:$H$102&lt;&gt;"Ακυρώθηκε")),54)),"")</f>
        <v/>
      </c>
      <c r="D58" s="32" t="str">
        <f>IFERROR(INDEX(ΡΑΝΤΕΒΟΥ!$E$3:$E$102,_xlfn.AGGREGATE(15,6,(ROW(ΡΑΝΤΕΒΟΥ!$C$3:$C$102)-ROW(ΡΑΝΤΕΒΟΥ!$C$3)+1)/((ΡΑΝΤΕΒΟΥ!$B$3:$B$102=$B$2)*(ΡΑΝΤΕΒΟΥ!$H$3:$H$102&lt;&gt;"Ακυρώθηκε")),54)),"")</f>
        <v/>
      </c>
      <c r="E58" s="34" t="str">
        <f>IFERROR(INDEX(ΡΑΝΤΕΒΟΥ!$F$3:$F$102,_xlfn.AGGREGATE(15,6,(ROW(ΡΑΝΤΕΒΟΥ!$C$3:$C$102)-ROW(ΡΑΝΤΕΒΟΥ!$C$3)+1)/((ΡΑΝΤΕΒΟΥ!$B$3:$B$102=$B$2)*(ΡΑΝΤΕΒΟΥ!$H$3:$H$102&lt;&gt;"Ακυρώθηκε")),54)),"")</f>
        <v/>
      </c>
      <c r="F58" s="35" t="str">
        <f>IFERROR(INDEX(ΡΑΝΤΕΒΟΥ!$H$3:$H$102,_xlfn.AGGREGATE(15,6,(ROW(ΡΑΝΤΕΒΟΥ!$C$3:$C$102)-ROW(ΡΑΝΤΕΒΟΥ!$C$3)+1)/((ΡΑΝΤΕΒΟΥ!$B$3:$B$102=$B$2)*(ΡΑΝΤΕΒΟΥ!$H$3:$H$102&lt;&gt;"Ακυρώθηκε")),54)),"")</f>
        <v/>
      </c>
      <c r="G58" s="36"/>
    </row>
    <row r="59" spans="1:7" ht="15" customHeight="1" x14ac:dyDescent="0.25">
      <c r="A59" s="23" t="str">
        <f>IF($B59="","",55)</f>
        <v/>
      </c>
      <c r="B59" s="32" t="str">
        <f>IFERROR(INDEX(ΡΑΝΤΕΒΟΥ!$C$3:$C$102,_xlfn.AGGREGATE(15,6,(ROW(ΡΑΝΤΕΒΟΥ!$C$3:$C$102)-ROW(ΡΑΝΤΕΒΟΥ!$C$3)+1)/((ΡΑΝΤΕΒΟΥ!$B$3:$B$102=$B$2)*(ΡΑΝΤΕΒΟΥ!$H$3:$H$102&lt;&gt;"Ακυρώθηκε")),55)),"")</f>
        <v/>
      </c>
      <c r="C59" s="33" t="str">
        <f>IFERROR(INDEX(ΡΑΝΤΕΒΟΥ!$D$3:$D$102,_xlfn.AGGREGATE(15,6,(ROW(ΡΑΝΤΕΒΟΥ!$C$3:$C$102)-ROW(ΡΑΝΤΕΒΟΥ!$C$3)+1)/((ΡΑΝΤΕΒΟΥ!$B$3:$B$102=$B$2)*(ΡΑΝΤΕΒΟΥ!$H$3:$H$102&lt;&gt;"Ακυρώθηκε")),55)),"")</f>
        <v/>
      </c>
      <c r="D59" s="32" t="str">
        <f>IFERROR(INDEX(ΡΑΝΤΕΒΟΥ!$E$3:$E$102,_xlfn.AGGREGATE(15,6,(ROW(ΡΑΝΤΕΒΟΥ!$C$3:$C$102)-ROW(ΡΑΝΤΕΒΟΥ!$C$3)+1)/((ΡΑΝΤΕΒΟΥ!$B$3:$B$102=$B$2)*(ΡΑΝΤΕΒΟΥ!$H$3:$H$102&lt;&gt;"Ακυρώθηκε")),55)),"")</f>
        <v/>
      </c>
      <c r="E59" s="34" t="str">
        <f>IFERROR(INDEX(ΡΑΝΤΕΒΟΥ!$F$3:$F$102,_xlfn.AGGREGATE(15,6,(ROW(ΡΑΝΤΕΒΟΥ!$C$3:$C$102)-ROW(ΡΑΝΤΕΒΟΥ!$C$3)+1)/((ΡΑΝΤΕΒΟΥ!$B$3:$B$102=$B$2)*(ΡΑΝΤΕΒΟΥ!$H$3:$H$102&lt;&gt;"Ακυρώθηκε")),55)),"")</f>
        <v/>
      </c>
      <c r="F59" s="35" t="str">
        <f>IFERROR(INDEX(ΡΑΝΤΕΒΟΥ!$H$3:$H$102,_xlfn.AGGREGATE(15,6,(ROW(ΡΑΝΤΕΒΟΥ!$C$3:$C$102)-ROW(ΡΑΝΤΕΒΟΥ!$C$3)+1)/((ΡΑΝΤΕΒΟΥ!$B$3:$B$102=$B$2)*(ΡΑΝΤΕΒΟΥ!$H$3:$H$102&lt;&gt;"Ακυρώθηκε")),55)),"")</f>
        <v/>
      </c>
      <c r="G59" s="36"/>
    </row>
    <row r="60" spans="1:7" ht="15" customHeight="1" x14ac:dyDescent="0.25">
      <c r="A60" s="23" t="str">
        <f>IF($B60="","",56)</f>
        <v/>
      </c>
      <c r="B60" s="32" t="str">
        <f>IFERROR(INDEX(ΡΑΝΤΕΒΟΥ!$C$3:$C$102,_xlfn.AGGREGATE(15,6,(ROW(ΡΑΝΤΕΒΟΥ!$C$3:$C$102)-ROW(ΡΑΝΤΕΒΟΥ!$C$3)+1)/((ΡΑΝΤΕΒΟΥ!$B$3:$B$102=$B$2)*(ΡΑΝΤΕΒΟΥ!$H$3:$H$102&lt;&gt;"Ακυρώθηκε")),56)),"")</f>
        <v/>
      </c>
      <c r="C60" s="33" t="str">
        <f>IFERROR(INDEX(ΡΑΝΤΕΒΟΥ!$D$3:$D$102,_xlfn.AGGREGATE(15,6,(ROW(ΡΑΝΤΕΒΟΥ!$C$3:$C$102)-ROW(ΡΑΝΤΕΒΟΥ!$C$3)+1)/((ΡΑΝΤΕΒΟΥ!$B$3:$B$102=$B$2)*(ΡΑΝΤΕΒΟΥ!$H$3:$H$102&lt;&gt;"Ακυρώθηκε")),56)),"")</f>
        <v/>
      </c>
      <c r="D60" s="32" t="str">
        <f>IFERROR(INDEX(ΡΑΝΤΕΒΟΥ!$E$3:$E$102,_xlfn.AGGREGATE(15,6,(ROW(ΡΑΝΤΕΒΟΥ!$C$3:$C$102)-ROW(ΡΑΝΤΕΒΟΥ!$C$3)+1)/((ΡΑΝΤΕΒΟΥ!$B$3:$B$102=$B$2)*(ΡΑΝΤΕΒΟΥ!$H$3:$H$102&lt;&gt;"Ακυρώθηκε")),56)),"")</f>
        <v/>
      </c>
      <c r="E60" s="34" t="str">
        <f>IFERROR(INDEX(ΡΑΝΤΕΒΟΥ!$F$3:$F$102,_xlfn.AGGREGATE(15,6,(ROW(ΡΑΝΤΕΒΟΥ!$C$3:$C$102)-ROW(ΡΑΝΤΕΒΟΥ!$C$3)+1)/((ΡΑΝΤΕΒΟΥ!$B$3:$B$102=$B$2)*(ΡΑΝΤΕΒΟΥ!$H$3:$H$102&lt;&gt;"Ακυρώθηκε")),56)),"")</f>
        <v/>
      </c>
      <c r="F60" s="35" t="str">
        <f>IFERROR(INDEX(ΡΑΝΤΕΒΟΥ!$H$3:$H$102,_xlfn.AGGREGATE(15,6,(ROW(ΡΑΝΤΕΒΟΥ!$C$3:$C$102)-ROW(ΡΑΝΤΕΒΟΥ!$C$3)+1)/((ΡΑΝΤΕΒΟΥ!$B$3:$B$102=$B$2)*(ΡΑΝΤΕΒΟΥ!$H$3:$H$102&lt;&gt;"Ακυρώθηκε")),56)),"")</f>
        <v/>
      </c>
      <c r="G60" s="36"/>
    </row>
    <row r="61" spans="1:7" ht="15" customHeight="1" x14ac:dyDescent="0.25">
      <c r="A61" s="23" t="str">
        <f>IF($B61="","",57)</f>
        <v/>
      </c>
      <c r="B61" s="32" t="str">
        <f>IFERROR(INDEX(ΡΑΝΤΕΒΟΥ!$C$3:$C$102,_xlfn.AGGREGATE(15,6,(ROW(ΡΑΝΤΕΒΟΥ!$C$3:$C$102)-ROW(ΡΑΝΤΕΒΟΥ!$C$3)+1)/((ΡΑΝΤΕΒΟΥ!$B$3:$B$102=$B$2)*(ΡΑΝΤΕΒΟΥ!$H$3:$H$102&lt;&gt;"Ακυρώθηκε")),57)),"")</f>
        <v/>
      </c>
      <c r="C61" s="33" t="str">
        <f>IFERROR(INDEX(ΡΑΝΤΕΒΟΥ!$D$3:$D$102,_xlfn.AGGREGATE(15,6,(ROW(ΡΑΝΤΕΒΟΥ!$C$3:$C$102)-ROW(ΡΑΝΤΕΒΟΥ!$C$3)+1)/((ΡΑΝΤΕΒΟΥ!$B$3:$B$102=$B$2)*(ΡΑΝΤΕΒΟΥ!$H$3:$H$102&lt;&gt;"Ακυρώθηκε")),57)),"")</f>
        <v/>
      </c>
      <c r="D61" s="32" t="str">
        <f>IFERROR(INDEX(ΡΑΝΤΕΒΟΥ!$E$3:$E$102,_xlfn.AGGREGATE(15,6,(ROW(ΡΑΝΤΕΒΟΥ!$C$3:$C$102)-ROW(ΡΑΝΤΕΒΟΥ!$C$3)+1)/((ΡΑΝΤΕΒΟΥ!$B$3:$B$102=$B$2)*(ΡΑΝΤΕΒΟΥ!$H$3:$H$102&lt;&gt;"Ακυρώθηκε")),57)),"")</f>
        <v/>
      </c>
      <c r="E61" s="34" t="str">
        <f>IFERROR(INDEX(ΡΑΝΤΕΒΟΥ!$F$3:$F$102,_xlfn.AGGREGATE(15,6,(ROW(ΡΑΝΤΕΒΟΥ!$C$3:$C$102)-ROW(ΡΑΝΤΕΒΟΥ!$C$3)+1)/((ΡΑΝΤΕΒΟΥ!$B$3:$B$102=$B$2)*(ΡΑΝΤΕΒΟΥ!$H$3:$H$102&lt;&gt;"Ακυρώθηκε")),57)),"")</f>
        <v/>
      </c>
      <c r="F61" s="35" t="str">
        <f>IFERROR(INDEX(ΡΑΝΤΕΒΟΥ!$H$3:$H$102,_xlfn.AGGREGATE(15,6,(ROW(ΡΑΝΤΕΒΟΥ!$C$3:$C$102)-ROW(ΡΑΝΤΕΒΟΥ!$C$3)+1)/((ΡΑΝΤΕΒΟΥ!$B$3:$B$102=$B$2)*(ΡΑΝΤΕΒΟΥ!$H$3:$H$102&lt;&gt;"Ακυρώθηκε")),57)),"")</f>
        <v/>
      </c>
      <c r="G61" s="36"/>
    </row>
    <row r="62" spans="1:7" ht="15" customHeight="1" x14ac:dyDescent="0.25">
      <c r="A62" s="23" t="str">
        <f>IF($B62="","",58)</f>
        <v/>
      </c>
      <c r="B62" s="32" t="str">
        <f>IFERROR(INDEX(ΡΑΝΤΕΒΟΥ!$C$3:$C$102,_xlfn.AGGREGATE(15,6,(ROW(ΡΑΝΤΕΒΟΥ!$C$3:$C$102)-ROW(ΡΑΝΤΕΒΟΥ!$C$3)+1)/((ΡΑΝΤΕΒΟΥ!$B$3:$B$102=$B$2)*(ΡΑΝΤΕΒΟΥ!$H$3:$H$102&lt;&gt;"Ακυρώθηκε")),58)),"")</f>
        <v/>
      </c>
      <c r="C62" s="33" t="str">
        <f>IFERROR(INDEX(ΡΑΝΤΕΒΟΥ!$D$3:$D$102,_xlfn.AGGREGATE(15,6,(ROW(ΡΑΝΤΕΒΟΥ!$C$3:$C$102)-ROW(ΡΑΝΤΕΒΟΥ!$C$3)+1)/((ΡΑΝΤΕΒΟΥ!$B$3:$B$102=$B$2)*(ΡΑΝΤΕΒΟΥ!$H$3:$H$102&lt;&gt;"Ακυρώθηκε")),58)),"")</f>
        <v/>
      </c>
      <c r="D62" s="32" t="str">
        <f>IFERROR(INDEX(ΡΑΝΤΕΒΟΥ!$E$3:$E$102,_xlfn.AGGREGATE(15,6,(ROW(ΡΑΝΤΕΒΟΥ!$C$3:$C$102)-ROW(ΡΑΝΤΕΒΟΥ!$C$3)+1)/((ΡΑΝΤΕΒΟΥ!$B$3:$B$102=$B$2)*(ΡΑΝΤΕΒΟΥ!$H$3:$H$102&lt;&gt;"Ακυρώθηκε")),58)),"")</f>
        <v/>
      </c>
      <c r="E62" s="34" t="str">
        <f>IFERROR(INDEX(ΡΑΝΤΕΒΟΥ!$F$3:$F$102,_xlfn.AGGREGATE(15,6,(ROW(ΡΑΝΤΕΒΟΥ!$C$3:$C$102)-ROW(ΡΑΝΤΕΒΟΥ!$C$3)+1)/((ΡΑΝΤΕΒΟΥ!$B$3:$B$102=$B$2)*(ΡΑΝΤΕΒΟΥ!$H$3:$H$102&lt;&gt;"Ακυρώθηκε")),58)),"")</f>
        <v/>
      </c>
      <c r="F62" s="35" t="str">
        <f>IFERROR(INDEX(ΡΑΝΤΕΒΟΥ!$H$3:$H$102,_xlfn.AGGREGATE(15,6,(ROW(ΡΑΝΤΕΒΟΥ!$C$3:$C$102)-ROW(ΡΑΝΤΕΒΟΥ!$C$3)+1)/((ΡΑΝΤΕΒΟΥ!$B$3:$B$102=$B$2)*(ΡΑΝΤΕΒΟΥ!$H$3:$H$102&lt;&gt;"Ακυρώθηκε")),58)),"")</f>
        <v/>
      </c>
      <c r="G62" s="36"/>
    </row>
    <row r="63" spans="1:7" ht="15" customHeight="1" x14ac:dyDescent="0.25">
      <c r="A63" s="23" t="str">
        <f>IF($B63="","",59)</f>
        <v/>
      </c>
      <c r="B63" s="32" t="str">
        <f>IFERROR(INDEX(ΡΑΝΤΕΒΟΥ!$C$3:$C$102,_xlfn.AGGREGATE(15,6,(ROW(ΡΑΝΤΕΒΟΥ!$C$3:$C$102)-ROW(ΡΑΝΤΕΒΟΥ!$C$3)+1)/((ΡΑΝΤΕΒΟΥ!$B$3:$B$102=$B$2)*(ΡΑΝΤΕΒΟΥ!$H$3:$H$102&lt;&gt;"Ακυρώθηκε")),59)),"")</f>
        <v/>
      </c>
      <c r="C63" s="33" t="str">
        <f>IFERROR(INDEX(ΡΑΝΤΕΒΟΥ!$D$3:$D$102,_xlfn.AGGREGATE(15,6,(ROW(ΡΑΝΤΕΒΟΥ!$C$3:$C$102)-ROW(ΡΑΝΤΕΒΟΥ!$C$3)+1)/((ΡΑΝΤΕΒΟΥ!$B$3:$B$102=$B$2)*(ΡΑΝΤΕΒΟΥ!$H$3:$H$102&lt;&gt;"Ακυρώθηκε")),59)),"")</f>
        <v/>
      </c>
      <c r="D63" s="32" t="str">
        <f>IFERROR(INDEX(ΡΑΝΤΕΒΟΥ!$E$3:$E$102,_xlfn.AGGREGATE(15,6,(ROW(ΡΑΝΤΕΒΟΥ!$C$3:$C$102)-ROW(ΡΑΝΤΕΒΟΥ!$C$3)+1)/((ΡΑΝΤΕΒΟΥ!$B$3:$B$102=$B$2)*(ΡΑΝΤΕΒΟΥ!$H$3:$H$102&lt;&gt;"Ακυρώθηκε")),59)),"")</f>
        <v/>
      </c>
      <c r="E63" s="34" t="str">
        <f>IFERROR(INDEX(ΡΑΝΤΕΒΟΥ!$F$3:$F$102,_xlfn.AGGREGATE(15,6,(ROW(ΡΑΝΤΕΒΟΥ!$C$3:$C$102)-ROW(ΡΑΝΤΕΒΟΥ!$C$3)+1)/((ΡΑΝΤΕΒΟΥ!$B$3:$B$102=$B$2)*(ΡΑΝΤΕΒΟΥ!$H$3:$H$102&lt;&gt;"Ακυρώθηκε")),59)),"")</f>
        <v/>
      </c>
      <c r="F63" s="35" t="str">
        <f>IFERROR(INDEX(ΡΑΝΤΕΒΟΥ!$H$3:$H$102,_xlfn.AGGREGATE(15,6,(ROW(ΡΑΝΤΕΒΟΥ!$C$3:$C$102)-ROW(ΡΑΝΤΕΒΟΥ!$C$3)+1)/((ΡΑΝΤΕΒΟΥ!$B$3:$B$102=$B$2)*(ΡΑΝΤΕΒΟΥ!$H$3:$H$102&lt;&gt;"Ακυρώθηκε")),59)),"")</f>
        <v/>
      </c>
      <c r="G63" s="36"/>
    </row>
    <row r="64" spans="1:7" ht="15" customHeight="1" x14ac:dyDescent="0.25">
      <c r="A64" s="23" t="str">
        <f>IF($B64="","",60)</f>
        <v/>
      </c>
      <c r="B64" s="32" t="str">
        <f>IFERROR(INDEX(ΡΑΝΤΕΒΟΥ!$C$3:$C$102,_xlfn.AGGREGATE(15,6,(ROW(ΡΑΝΤΕΒΟΥ!$C$3:$C$102)-ROW(ΡΑΝΤΕΒΟΥ!$C$3)+1)/((ΡΑΝΤΕΒΟΥ!$B$3:$B$102=$B$2)*(ΡΑΝΤΕΒΟΥ!$H$3:$H$102&lt;&gt;"Ακυρώθηκε")),60)),"")</f>
        <v/>
      </c>
      <c r="C64" s="33" t="str">
        <f>IFERROR(INDEX(ΡΑΝΤΕΒΟΥ!$D$3:$D$102,_xlfn.AGGREGATE(15,6,(ROW(ΡΑΝΤΕΒΟΥ!$C$3:$C$102)-ROW(ΡΑΝΤΕΒΟΥ!$C$3)+1)/((ΡΑΝΤΕΒΟΥ!$B$3:$B$102=$B$2)*(ΡΑΝΤΕΒΟΥ!$H$3:$H$102&lt;&gt;"Ακυρώθηκε")),60)),"")</f>
        <v/>
      </c>
      <c r="D64" s="32" t="str">
        <f>IFERROR(INDEX(ΡΑΝΤΕΒΟΥ!$E$3:$E$102,_xlfn.AGGREGATE(15,6,(ROW(ΡΑΝΤΕΒΟΥ!$C$3:$C$102)-ROW(ΡΑΝΤΕΒΟΥ!$C$3)+1)/((ΡΑΝΤΕΒΟΥ!$B$3:$B$102=$B$2)*(ΡΑΝΤΕΒΟΥ!$H$3:$H$102&lt;&gt;"Ακυρώθηκε")),60)),"")</f>
        <v/>
      </c>
      <c r="E64" s="34" t="str">
        <f>IFERROR(INDEX(ΡΑΝΤΕΒΟΥ!$F$3:$F$102,_xlfn.AGGREGATE(15,6,(ROW(ΡΑΝΤΕΒΟΥ!$C$3:$C$102)-ROW(ΡΑΝΤΕΒΟΥ!$C$3)+1)/((ΡΑΝΤΕΒΟΥ!$B$3:$B$102=$B$2)*(ΡΑΝΤΕΒΟΥ!$H$3:$H$102&lt;&gt;"Ακυρώθηκε")),60)),"")</f>
        <v/>
      </c>
      <c r="F64" s="35" t="str">
        <f>IFERROR(INDEX(ΡΑΝΤΕΒΟΥ!$H$3:$H$102,_xlfn.AGGREGATE(15,6,(ROW(ΡΑΝΤΕΒΟΥ!$C$3:$C$102)-ROW(ΡΑΝΤΕΒΟΥ!$C$3)+1)/((ΡΑΝΤΕΒΟΥ!$B$3:$B$102=$B$2)*(ΡΑΝΤΕΒΟΥ!$H$3:$H$102&lt;&gt;"Ακυρώθηκε")),60)),"")</f>
        <v/>
      </c>
      <c r="G64" s="36"/>
    </row>
    <row r="65" spans="1:7" ht="15" customHeight="1" x14ac:dyDescent="0.25">
      <c r="A65" s="23" t="str">
        <f>IF($B65="","",61)</f>
        <v/>
      </c>
      <c r="B65" s="32" t="str">
        <f>IFERROR(INDEX(ΡΑΝΤΕΒΟΥ!$C$3:$C$102,_xlfn.AGGREGATE(15,6,(ROW(ΡΑΝΤΕΒΟΥ!$C$3:$C$102)-ROW(ΡΑΝΤΕΒΟΥ!$C$3)+1)/((ΡΑΝΤΕΒΟΥ!$B$3:$B$102=$B$2)*(ΡΑΝΤΕΒΟΥ!$H$3:$H$102&lt;&gt;"Ακυρώθηκε")),61)),"")</f>
        <v/>
      </c>
      <c r="C65" s="33" t="str">
        <f>IFERROR(INDEX(ΡΑΝΤΕΒΟΥ!$D$3:$D$102,_xlfn.AGGREGATE(15,6,(ROW(ΡΑΝΤΕΒΟΥ!$C$3:$C$102)-ROW(ΡΑΝΤΕΒΟΥ!$C$3)+1)/((ΡΑΝΤΕΒΟΥ!$B$3:$B$102=$B$2)*(ΡΑΝΤΕΒΟΥ!$H$3:$H$102&lt;&gt;"Ακυρώθηκε")),61)),"")</f>
        <v/>
      </c>
      <c r="D65" s="32" t="str">
        <f>IFERROR(INDEX(ΡΑΝΤΕΒΟΥ!$E$3:$E$102,_xlfn.AGGREGATE(15,6,(ROW(ΡΑΝΤΕΒΟΥ!$C$3:$C$102)-ROW(ΡΑΝΤΕΒΟΥ!$C$3)+1)/((ΡΑΝΤΕΒΟΥ!$B$3:$B$102=$B$2)*(ΡΑΝΤΕΒΟΥ!$H$3:$H$102&lt;&gt;"Ακυρώθηκε")),61)),"")</f>
        <v/>
      </c>
      <c r="E65" s="34" t="str">
        <f>IFERROR(INDEX(ΡΑΝΤΕΒΟΥ!$F$3:$F$102,_xlfn.AGGREGATE(15,6,(ROW(ΡΑΝΤΕΒΟΥ!$C$3:$C$102)-ROW(ΡΑΝΤΕΒΟΥ!$C$3)+1)/((ΡΑΝΤΕΒΟΥ!$B$3:$B$102=$B$2)*(ΡΑΝΤΕΒΟΥ!$H$3:$H$102&lt;&gt;"Ακυρώθηκε")),61)),"")</f>
        <v/>
      </c>
      <c r="F65" s="35" t="str">
        <f>IFERROR(INDEX(ΡΑΝΤΕΒΟΥ!$H$3:$H$102,_xlfn.AGGREGATE(15,6,(ROW(ΡΑΝΤΕΒΟΥ!$C$3:$C$102)-ROW(ΡΑΝΤΕΒΟΥ!$C$3)+1)/((ΡΑΝΤΕΒΟΥ!$B$3:$B$102=$B$2)*(ΡΑΝΤΕΒΟΥ!$H$3:$H$102&lt;&gt;"Ακυρώθηκε")),61)),"")</f>
        <v/>
      </c>
      <c r="G65" s="36"/>
    </row>
    <row r="66" spans="1:7" ht="15" customHeight="1" x14ac:dyDescent="0.25">
      <c r="A66" s="23" t="str">
        <f>IF($B66="","",62)</f>
        <v/>
      </c>
      <c r="B66" s="32" t="str">
        <f>IFERROR(INDEX(ΡΑΝΤΕΒΟΥ!$C$3:$C$102,_xlfn.AGGREGATE(15,6,(ROW(ΡΑΝΤΕΒΟΥ!$C$3:$C$102)-ROW(ΡΑΝΤΕΒΟΥ!$C$3)+1)/((ΡΑΝΤΕΒΟΥ!$B$3:$B$102=$B$2)*(ΡΑΝΤΕΒΟΥ!$H$3:$H$102&lt;&gt;"Ακυρώθηκε")),62)),"")</f>
        <v/>
      </c>
      <c r="C66" s="33" t="str">
        <f>IFERROR(INDEX(ΡΑΝΤΕΒΟΥ!$D$3:$D$102,_xlfn.AGGREGATE(15,6,(ROW(ΡΑΝΤΕΒΟΥ!$C$3:$C$102)-ROW(ΡΑΝΤΕΒΟΥ!$C$3)+1)/((ΡΑΝΤΕΒΟΥ!$B$3:$B$102=$B$2)*(ΡΑΝΤΕΒΟΥ!$H$3:$H$102&lt;&gt;"Ακυρώθηκε")),62)),"")</f>
        <v/>
      </c>
      <c r="D66" s="32" t="str">
        <f>IFERROR(INDEX(ΡΑΝΤΕΒΟΥ!$E$3:$E$102,_xlfn.AGGREGATE(15,6,(ROW(ΡΑΝΤΕΒΟΥ!$C$3:$C$102)-ROW(ΡΑΝΤΕΒΟΥ!$C$3)+1)/((ΡΑΝΤΕΒΟΥ!$B$3:$B$102=$B$2)*(ΡΑΝΤΕΒΟΥ!$H$3:$H$102&lt;&gt;"Ακυρώθηκε")),62)),"")</f>
        <v/>
      </c>
      <c r="E66" s="34" t="str">
        <f>IFERROR(INDEX(ΡΑΝΤΕΒΟΥ!$F$3:$F$102,_xlfn.AGGREGATE(15,6,(ROW(ΡΑΝΤΕΒΟΥ!$C$3:$C$102)-ROW(ΡΑΝΤΕΒΟΥ!$C$3)+1)/((ΡΑΝΤΕΒΟΥ!$B$3:$B$102=$B$2)*(ΡΑΝΤΕΒΟΥ!$H$3:$H$102&lt;&gt;"Ακυρώθηκε")),62)),"")</f>
        <v/>
      </c>
      <c r="F66" s="35" t="str">
        <f>IFERROR(INDEX(ΡΑΝΤΕΒΟΥ!$H$3:$H$102,_xlfn.AGGREGATE(15,6,(ROW(ΡΑΝΤΕΒΟΥ!$C$3:$C$102)-ROW(ΡΑΝΤΕΒΟΥ!$C$3)+1)/((ΡΑΝΤΕΒΟΥ!$B$3:$B$102=$B$2)*(ΡΑΝΤΕΒΟΥ!$H$3:$H$102&lt;&gt;"Ακυρώθηκε")),62)),"")</f>
        <v/>
      </c>
      <c r="G66" s="36"/>
    </row>
    <row r="67" spans="1:7" ht="15" customHeight="1" x14ac:dyDescent="0.25">
      <c r="A67" s="23" t="str">
        <f>IF($B67="","",63)</f>
        <v/>
      </c>
      <c r="B67" s="32" t="str">
        <f>IFERROR(INDEX(ΡΑΝΤΕΒΟΥ!$C$3:$C$102,_xlfn.AGGREGATE(15,6,(ROW(ΡΑΝΤΕΒΟΥ!$C$3:$C$102)-ROW(ΡΑΝΤΕΒΟΥ!$C$3)+1)/((ΡΑΝΤΕΒΟΥ!$B$3:$B$102=$B$2)*(ΡΑΝΤΕΒΟΥ!$H$3:$H$102&lt;&gt;"Ακυρώθηκε")),63)),"")</f>
        <v/>
      </c>
      <c r="C67" s="33" t="str">
        <f>IFERROR(INDEX(ΡΑΝΤΕΒΟΥ!$D$3:$D$102,_xlfn.AGGREGATE(15,6,(ROW(ΡΑΝΤΕΒΟΥ!$C$3:$C$102)-ROW(ΡΑΝΤΕΒΟΥ!$C$3)+1)/((ΡΑΝΤΕΒΟΥ!$B$3:$B$102=$B$2)*(ΡΑΝΤΕΒΟΥ!$H$3:$H$102&lt;&gt;"Ακυρώθηκε")),63)),"")</f>
        <v/>
      </c>
      <c r="D67" s="32" t="str">
        <f>IFERROR(INDEX(ΡΑΝΤΕΒΟΥ!$E$3:$E$102,_xlfn.AGGREGATE(15,6,(ROW(ΡΑΝΤΕΒΟΥ!$C$3:$C$102)-ROW(ΡΑΝΤΕΒΟΥ!$C$3)+1)/((ΡΑΝΤΕΒΟΥ!$B$3:$B$102=$B$2)*(ΡΑΝΤΕΒΟΥ!$H$3:$H$102&lt;&gt;"Ακυρώθηκε")),63)),"")</f>
        <v/>
      </c>
      <c r="E67" s="34" t="str">
        <f>IFERROR(INDEX(ΡΑΝΤΕΒΟΥ!$F$3:$F$102,_xlfn.AGGREGATE(15,6,(ROW(ΡΑΝΤΕΒΟΥ!$C$3:$C$102)-ROW(ΡΑΝΤΕΒΟΥ!$C$3)+1)/((ΡΑΝΤΕΒΟΥ!$B$3:$B$102=$B$2)*(ΡΑΝΤΕΒΟΥ!$H$3:$H$102&lt;&gt;"Ακυρώθηκε")),63)),"")</f>
        <v/>
      </c>
      <c r="F67" s="35" t="str">
        <f>IFERROR(INDEX(ΡΑΝΤΕΒΟΥ!$H$3:$H$102,_xlfn.AGGREGATE(15,6,(ROW(ΡΑΝΤΕΒΟΥ!$C$3:$C$102)-ROW(ΡΑΝΤΕΒΟΥ!$C$3)+1)/((ΡΑΝΤΕΒΟΥ!$B$3:$B$102=$B$2)*(ΡΑΝΤΕΒΟΥ!$H$3:$H$102&lt;&gt;"Ακυρώθηκε")),63)),"")</f>
        <v/>
      </c>
      <c r="G67" s="36"/>
    </row>
    <row r="68" spans="1:7" ht="15" customHeight="1" x14ac:dyDescent="0.25">
      <c r="A68" s="23" t="str">
        <f>IF($B68="","",64)</f>
        <v/>
      </c>
      <c r="B68" s="32" t="str">
        <f>IFERROR(INDEX(ΡΑΝΤΕΒΟΥ!$C$3:$C$102,_xlfn.AGGREGATE(15,6,(ROW(ΡΑΝΤΕΒΟΥ!$C$3:$C$102)-ROW(ΡΑΝΤΕΒΟΥ!$C$3)+1)/((ΡΑΝΤΕΒΟΥ!$B$3:$B$102=$B$2)*(ΡΑΝΤΕΒΟΥ!$H$3:$H$102&lt;&gt;"Ακυρώθηκε")),64)),"")</f>
        <v/>
      </c>
      <c r="C68" s="33" t="str">
        <f>IFERROR(INDEX(ΡΑΝΤΕΒΟΥ!$D$3:$D$102,_xlfn.AGGREGATE(15,6,(ROW(ΡΑΝΤΕΒΟΥ!$C$3:$C$102)-ROW(ΡΑΝΤΕΒΟΥ!$C$3)+1)/((ΡΑΝΤΕΒΟΥ!$B$3:$B$102=$B$2)*(ΡΑΝΤΕΒΟΥ!$H$3:$H$102&lt;&gt;"Ακυρώθηκε")),64)),"")</f>
        <v/>
      </c>
      <c r="D68" s="32" t="str">
        <f>IFERROR(INDEX(ΡΑΝΤΕΒΟΥ!$E$3:$E$102,_xlfn.AGGREGATE(15,6,(ROW(ΡΑΝΤΕΒΟΥ!$C$3:$C$102)-ROW(ΡΑΝΤΕΒΟΥ!$C$3)+1)/((ΡΑΝΤΕΒΟΥ!$B$3:$B$102=$B$2)*(ΡΑΝΤΕΒΟΥ!$H$3:$H$102&lt;&gt;"Ακυρώθηκε")),64)),"")</f>
        <v/>
      </c>
      <c r="E68" s="34" t="str">
        <f>IFERROR(INDEX(ΡΑΝΤΕΒΟΥ!$F$3:$F$102,_xlfn.AGGREGATE(15,6,(ROW(ΡΑΝΤΕΒΟΥ!$C$3:$C$102)-ROW(ΡΑΝΤΕΒΟΥ!$C$3)+1)/((ΡΑΝΤΕΒΟΥ!$B$3:$B$102=$B$2)*(ΡΑΝΤΕΒΟΥ!$H$3:$H$102&lt;&gt;"Ακυρώθηκε")),64)),"")</f>
        <v/>
      </c>
      <c r="F68" s="35" t="str">
        <f>IFERROR(INDEX(ΡΑΝΤΕΒΟΥ!$H$3:$H$102,_xlfn.AGGREGATE(15,6,(ROW(ΡΑΝΤΕΒΟΥ!$C$3:$C$102)-ROW(ΡΑΝΤΕΒΟΥ!$C$3)+1)/((ΡΑΝΤΕΒΟΥ!$B$3:$B$102=$B$2)*(ΡΑΝΤΕΒΟΥ!$H$3:$H$102&lt;&gt;"Ακυρώθηκε")),64)),"")</f>
        <v/>
      </c>
      <c r="G68" s="36"/>
    </row>
    <row r="69" spans="1:7" ht="15" customHeight="1" x14ac:dyDescent="0.25">
      <c r="A69" s="23" t="str">
        <f>IF($B69="","",65)</f>
        <v/>
      </c>
      <c r="B69" s="32" t="str">
        <f>IFERROR(INDEX(ΡΑΝΤΕΒΟΥ!$C$3:$C$102,_xlfn.AGGREGATE(15,6,(ROW(ΡΑΝΤΕΒΟΥ!$C$3:$C$102)-ROW(ΡΑΝΤΕΒΟΥ!$C$3)+1)/((ΡΑΝΤΕΒΟΥ!$B$3:$B$102=$B$2)*(ΡΑΝΤΕΒΟΥ!$H$3:$H$102&lt;&gt;"Ακυρώθηκε")),65)),"")</f>
        <v/>
      </c>
      <c r="C69" s="33" t="str">
        <f>IFERROR(INDEX(ΡΑΝΤΕΒΟΥ!$D$3:$D$102,_xlfn.AGGREGATE(15,6,(ROW(ΡΑΝΤΕΒΟΥ!$C$3:$C$102)-ROW(ΡΑΝΤΕΒΟΥ!$C$3)+1)/((ΡΑΝΤΕΒΟΥ!$B$3:$B$102=$B$2)*(ΡΑΝΤΕΒΟΥ!$H$3:$H$102&lt;&gt;"Ακυρώθηκε")),65)),"")</f>
        <v/>
      </c>
      <c r="D69" s="32" t="str">
        <f>IFERROR(INDEX(ΡΑΝΤΕΒΟΥ!$E$3:$E$102,_xlfn.AGGREGATE(15,6,(ROW(ΡΑΝΤΕΒΟΥ!$C$3:$C$102)-ROW(ΡΑΝΤΕΒΟΥ!$C$3)+1)/((ΡΑΝΤΕΒΟΥ!$B$3:$B$102=$B$2)*(ΡΑΝΤΕΒΟΥ!$H$3:$H$102&lt;&gt;"Ακυρώθηκε")),65)),"")</f>
        <v/>
      </c>
      <c r="E69" s="34" t="str">
        <f>IFERROR(INDEX(ΡΑΝΤΕΒΟΥ!$F$3:$F$102,_xlfn.AGGREGATE(15,6,(ROW(ΡΑΝΤΕΒΟΥ!$C$3:$C$102)-ROW(ΡΑΝΤΕΒΟΥ!$C$3)+1)/((ΡΑΝΤΕΒΟΥ!$B$3:$B$102=$B$2)*(ΡΑΝΤΕΒΟΥ!$H$3:$H$102&lt;&gt;"Ακυρώθηκε")),65)),"")</f>
        <v/>
      </c>
      <c r="F69" s="35" t="str">
        <f>IFERROR(INDEX(ΡΑΝΤΕΒΟΥ!$H$3:$H$102,_xlfn.AGGREGATE(15,6,(ROW(ΡΑΝΤΕΒΟΥ!$C$3:$C$102)-ROW(ΡΑΝΤΕΒΟΥ!$C$3)+1)/((ΡΑΝΤΕΒΟΥ!$B$3:$B$102=$B$2)*(ΡΑΝΤΕΒΟΥ!$H$3:$H$102&lt;&gt;"Ακυρώθηκε")),65)),"")</f>
        <v/>
      </c>
      <c r="G69" s="36"/>
    </row>
    <row r="70" spans="1:7" ht="15" customHeight="1" x14ac:dyDescent="0.25">
      <c r="A70" s="23" t="str">
        <f>IF($B70="","",66)</f>
        <v/>
      </c>
      <c r="B70" s="32" t="str">
        <f>IFERROR(INDEX(ΡΑΝΤΕΒΟΥ!$C$3:$C$102,_xlfn.AGGREGATE(15,6,(ROW(ΡΑΝΤΕΒΟΥ!$C$3:$C$102)-ROW(ΡΑΝΤΕΒΟΥ!$C$3)+1)/((ΡΑΝΤΕΒΟΥ!$B$3:$B$102=$B$2)*(ΡΑΝΤΕΒΟΥ!$H$3:$H$102&lt;&gt;"Ακυρώθηκε")),66)),"")</f>
        <v/>
      </c>
      <c r="C70" s="33" t="str">
        <f>IFERROR(INDEX(ΡΑΝΤΕΒΟΥ!$D$3:$D$102,_xlfn.AGGREGATE(15,6,(ROW(ΡΑΝΤΕΒΟΥ!$C$3:$C$102)-ROW(ΡΑΝΤΕΒΟΥ!$C$3)+1)/((ΡΑΝΤΕΒΟΥ!$B$3:$B$102=$B$2)*(ΡΑΝΤΕΒΟΥ!$H$3:$H$102&lt;&gt;"Ακυρώθηκε")),66)),"")</f>
        <v/>
      </c>
      <c r="D70" s="32" t="str">
        <f>IFERROR(INDEX(ΡΑΝΤΕΒΟΥ!$E$3:$E$102,_xlfn.AGGREGATE(15,6,(ROW(ΡΑΝΤΕΒΟΥ!$C$3:$C$102)-ROW(ΡΑΝΤΕΒΟΥ!$C$3)+1)/((ΡΑΝΤΕΒΟΥ!$B$3:$B$102=$B$2)*(ΡΑΝΤΕΒΟΥ!$H$3:$H$102&lt;&gt;"Ακυρώθηκε")),66)),"")</f>
        <v/>
      </c>
      <c r="E70" s="34" t="str">
        <f>IFERROR(INDEX(ΡΑΝΤΕΒΟΥ!$F$3:$F$102,_xlfn.AGGREGATE(15,6,(ROW(ΡΑΝΤΕΒΟΥ!$C$3:$C$102)-ROW(ΡΑΝΤΕΒΟΥ!$C$3)+1)/((ΡΑΝΤΕΒΟΥ!$B$3:$B$102=$B$2)*(ΡΑΝΤΕΒΟΥ!$H$3:$H$102&lt;&gt;"Ακυρώθηκε")),66)),"")</f>
        <v/>
      </c>
      <c r="F70" s="35" t="str">
        <f>IFERROR(INDEX(ΡΑΝΤΕΒΟΥ!$H$3:$H$102,_xlfn.AGGREGATE(15,6,(ROW(ΡΑΝΤΕΒΟΥ!$C$3:$C$102)-ROW(ΡΑΝΤΕΒΟΥ!$C$3)+1)/((ΡΑΝΤΕΒΟΥ!$B$3:$B$102=$B$2)*(ΡΑΝΤΕΒΟΥ!$H$3:$H$102&lt;&gt;"Ακυρώθηκε")),66)),"")</f>
        <v/>
      </c>
      <c r="G70" s="36"/>
    </row>
    <row r="71" spans="1:7" ht="15" customHeight="1" x14ac:dyDescent="0.25">
      <c r="A71" s="23" t="str">
        <f>IF($B71="","",67)</f>
        <v/>
      </c>
      <c r="B71" s="32" t="str">
        <f>IFERROR(INDEX(ΡΑΝΤΕΒΟΥ!$C$3:$C$102,_xlfn.AGGREGATE(15,6,(ROW(ΡΑΝΤΕΒΟΥ!$C$3:$C$102)-ROW(ΡΑΝΤΕΒΟΥ!$C$3)+1)/((ΡΑΝΤΕΒΟΥ!$B$3:$B$102=$B$2)*(ΡΑΝΤΕΒΟΥ!$H$3:$H$102&lt;&gt;"Ακυρώθηκε")),67)),"")</f>
        <v/>
      </c>
      <c r="C71" s="33" t="str">
        <f>IFERROR(INDEX(ΡΑΝΤΕΒΟΥ!$D$3:$D$102,_xlfn.AGGREGATE(15,6,(ROW(ΡΑΝΤΕΒΟΥ!$C$3:$C$102)-ROW(ΡΑΝΤΕΒΟΥ!$C$3)+1)/((ΡΑΝΤΕΒΟΥ!$B$3:$B$102=$B$2)*(ΡΑΝΤΕΒΟΥ!$H$3:$H$102&lt;&gt;"Ακυρώθηκε")),67)),"")</f>
        <v/>
      </c>
      <c r="D71" s="32" t="str">
        <f>IFERROR(INDEX(ΡΑΝΤΕΒΟΥ!$E$3:$E$102,_xlfn.AGGREGATE(15,6,(ROW(ΡΑΝΤΕΒΟΥ!$C$3:$C$102)-ROW(ΡΑΝΤΕΒΟΥ!$C$3)+1)/((ΡΑΝΤΕΒΟΥ!$B$3:$B$102=$B$2)*(ΡΑΝΤΕΒΟΥ!$H$3:$H$102&lt;&gt;"Ακυρώθηκε")),67)),"")</f>
        <v/>
      </c>
      <c r="E71" s="34" t="str">
        <f>IFERROR(INDEX(ΡΑΝΤΕΒΟΥ!$F$3:$F$102,_xlfn.AGGREGATE(15,6,(ROW(ΡΑΝΤΕΒΟΥ!$C$3:$C$102)-ROW(ΡΑΝΤΕΒΟΥ!$C$3)+1)/((ΡΑΝΤΕΒΟΥ!$B$3:$B$102=$B$2)*(ΡΑΝΤΕΒΟΥ!$H$3:$H$102&lt;&gt;"Ακυρώθηκε")),67)),"")</f>
        <v/>
      </c>
      <c r="F71" s="35" t="str">
        <f>IFERROR(INDEX(ΡΑΝΤΕΒΟΥ!$H$3:$H$102,_xlfn.AGGREGATE(15,6,(ROW(ΡΑΝΤΕΒΟΥ!$C$3:$C$102)-ROW(ΡΑΝΤΕΒΟΥ!$C$3)+1)/((ΡΑΝΤΕΒΟΥ!$B$3:$B$102=$B$2)*(ΡΑΝΤΕΒΟΥ!$H$3:$H$102&lt;&gt;"Ακυρώθηκε")),67)),"")</f>
        <v/>
      </c>
      <c r="G71" s="36"/>
    </row>
    <row r="72" spans="1:7" ht="15" customHeight="1" x14ac:dyDescent="0.25">
      <c r="A72" s="23" t="str">
        <f>IF($B72="","",68)</f>
        <v/>
      </c>
      <c r="B72" s="32" t="str">
        <f>IFERROR(INDEX(ΡΑΝΤΕΒΟΥ!$C$3:$C$102,_xlfn.AGGREGATE(15,6,(ROW(ΡΑΝΤΕΒΟΥ!$C$3:$C$102)-ROW(ΡΑΝΤΕΒΟΥ!$C$3)+1)/((ΡΑΝΤΕΒΟΥ!$B$3:$B$102=$B$2)*(ΡΑΝΤΕΒΟΥ!$H$3:$H$102&lt;&gt;"Ακυρώθηκε")),68)),"")</f>
        <v/>
      </c>
      <c r="C72" s="33" t="str">
        <f>IFERROR(INDEX(ΡΑΝΤΕΒΟΥ!$D$3:$D$102,_xlfn.AGGREGATE(15,6,(ROW(ΡΑΝΤΕΒΟΥ!$C$3:$C$102)-ROW(ΡΑΝΤΕΒΟΥ!$C$3)+1)/((ΡΑΝΤΕΒΟΥ!$B$3:$B$102=$B$2)*(ΡΑΝΤΕΒΟΥ!$H$3:$H$102&lt;&gt;"Ακυρώθηκε")),68)),"")</f>
        <v/>
      </c>
      <c r="D72" s="32" t="str">
        <f>IFERROR(INDEX(ΡΑΝΤΕΒΟΥ!$E$3:$E$102,_xlfn.AGGREGATE(15,6,(ROW(ΡΑΝΤΕΒΟΥ!$C$3:$C$102)-ROW(ΡΑΝΤΕΒΟΥ!$C$3)+1)/((ΡΑΝΤΕΒΟΥ!$B$3:$B$102=$B$2)*(ΡΑΝΤΕΒΟΥ!$H$3:$H$102&lt;&gt;"Ακυρώθηκε")),68)),"")</f>
        <v/>
      </c>
      <c r="E72" s="34" t="str">
        <f>IFERROR(INDEX(ΡΑΝΤΕΒΟΥ!$F$3:$F$102,_xlfn.AGGREGATE(15,6,(ROW(ΡΑΝΤΕΒΟΥ!$C$3:$C$102)-ROW(ΡΑΝΤΕΒΟΥ!$C$3)+1)/((ΡΑΝΤΕΒΟΥ!$B$3:$B$102=$B$2)*(ΡΑΝΤΕΒΟΥ!$H$3:$H$102&lt;&gt;"Ακυρώθηκε")),68)),"")</f>
        <v/>
      </c>
      <c r="F72" s="35" t="str">
        <f>IFERROR(INDEX(ΡΑΝΤΕΒΟΥ!$H$3:$H$102,_xlfn.AGGREGATE(15,6,(ROW(ΡΑΝΤΕΒΟΥ!$C$3:$C$102)-ROW(ΡΑΝΤΕΒΟΥ!$C$3)+1)/((ΡΑΝΤΕΒΟΥ!$B$3:$B$102=$B$2)*(ΡΑΝΤΕΒΟΥ!$H$3:$H$102&lt;&gt;"Ακυρώθηκε")),68)),"")</f>
        <v/>
      </c>
      <c r="G72" s="36"/>
    </row>
    <row r="73" spans="1:7" ht="15" customHeight="1" x14ac:dyDescent="0.25">
      <c r="A73" s="23" t="str">
        <f>IF($B73="","",69)</f>
        <v/>
      </c>
      <c r="B73" s="32" t="str">
        <f>IFERROR(INDEX(ΡΑΝΤΕΒΟΥ!$C$3:$C$102,_xlfn.AGGREGATE(15,6,(ROW(ΡΑΝΤΕΒΟΥ!$C$3:$C$102)-ROW(ΡΑΝΤΕΒΟΥ!$C$3)+1)/((ΡΑΝΤΕΒΟΥ!$B$3:$B$102=$B$2)*(ΡΑΝΤΕΒΟΥ!$H$3:$H$102&lt;&gt;"Ακυρώθηκε")),69)),"")</f>
        <v/>
      </c>
      <c r="C73" s="33" t="str">
        <f>IFERROR(INDEX(ΡΑΝΤΕΒΟΥ!$D$3:$D$102,_xlfn.AGGREGATE(15,6,(ROW(ΡΑΝΤΕΒΟΥ!$C$3:$C$102)-ROW(ΡΑΝΤΕΒΟΥ!$C$3)+1)/((ΡΑΝΤΕΒΟΥ!$B$3:$B$102=$B$2)*(ΡΑΝΤΕΒΟΥ!$H$3:$H$102&lt;&gt;"Ακυρώθηκε")),69)),"")</f>
        <v/>
      </c>
      <c r="D73" s="32" t="str">
        <f>IFERROR(INDEX(ΡΑΝΤΕΒΟΥ!$E$3:$E$102,_xlfn.AGGREGATE(15,6,(ROW(ΡΑΝΤΕΒΟΥ!$C$3:$C$102)-ROW(ΡΑΝΤΕΒΟΥ!$C$3)+1)/((ΡΑΝΤΕΒΟΥ!$B$3:$B$102=$B$2)*(ΡΑΝΤΕΒΟΥ!$H$3:$H$102&lt;&gt;"Ακυρώθηκε")),69)),"")</f>
        <v/>
      </c>
      <c r="E73" s="34" t="str">
        <f>IFERROR(INDEX(ΡΑΝΤΕΒΟΥ!$F$3:$F$102,_xlfn.AGGREGATE(15,6,(ROW(ΡΑΝΤΕΒΟΥ!$C$3:$C$102)-ROW(ΡΑΝΤΕΒΟΥ!$C$3)+1)/((ΡΑΝΤΕΒΟΥ!$B$3:$B$102=$B$2)*(ΡΑΝΤΕΒΟΥ!$H$3:$H$102&lt;&gt;"Ακυρώθηκε")),69)),"")</f>
        <v/>
      </c>
      <c r="F73" s="35" t="str">
        <f>IFERROR(INDEX(ΡΑΝΤΕΒΟΥ!$H$3:$H$102,_xlfn.AGGREGATE(15,6,(ROW(ΡΑΝΤΕΒΟΥ!$C$3:$C$102)-ROW(ΡΑΝΤΕΒΟΥ!$C$3)+1)/((ΡΑΝΤΕΒΟΥ!$B$3:$B$102=$B$2)*(ΡΑΝΤΕΒΟΥ!$H$3:$H$102&lt;&gt;"Ακυρώθηκε")),69)),"")</f>
        <v/>
      </c>
      <c r="G73" s="36"/>
    </row>
    <row r="74" spans="1:7" ht="15" customHeight="1" x14ac:dyDescent="0.25">
      <c r="A74" s="23" t="str">
        <f>IF($B74="","",70)</f>
        <v/>
      </c>
      <c r="B74" s="32" t="str">
        <f>IFERROR(INDEX(ΡΑΝΤΕΒΟΥ!$C$3:$C$102,_xlfn.AGGREGATE(15,6,(ROW(ΡΑΝΤΕΒΟΥ!$C$3:$C$102)-ROW(ΡΑΝΤΕΒΟΥ!$C$3)+1)/((ΡΑΝΤΕΒΟΥ!$B$3:$B$102=$B$2)*(ΡΑΝΤΕΒΟΥ!$H$3:$H$102&lt;&gt;"Ακυρώθηκε")),70)),"")</f>
        <v/>
      </c>
      <c r="C74" s="33" t="str">
        <f>IFERROR(INDEX(ΡΑΝΤΕΒΟΥ!$D$3:$D$102,_xlfn.AGGREGATE(15,6,(ROW(ΡΑΝΤΕΒΟΥ!$C$3:$C$102)-ROW(ΡΑΝΤΕΒΟΥ!$C$3)+1)/((ΡΑΝΤΕΒΟΥ!$B$3:$B$102=$B$2)*(ΡΑΝΤΕΒΟΥ!$H$3:$H$102&lt;&gt;"Ακυρώθηκε")),70)),"")</f>
        <v/>
      </c>
      <c r="D74" s="32" t="str">
        <f>IFERROR(INDEX(ΡΑΝΤΕΒΟΥ!$E$3:$E$102,_xlfn.AGGREGATE(15,6,(ROW(ΡΑΝΤΕΒΟΥ!$C$3:$C$102)-ROW(ΡΑΝΤΕΒΟΥ!$C$3)+1)/((ΡΑΝΤΕΒΟΥ!$B$3:$B$102=$B$2)*(ΡΑΝΤΕΒΟΥ!$H$3:$H$102&lt;&gt;"Ακυρώθηκε")),70)),"")</f>
        <v/>
      </c>
      <c r="E74" s="34" t="str">
        <f>IFERROR(INDEX(ΡΑΝΤΕΒΟΥ!$F$3:$F$102,_xlfn.AGGREGATE(15,6,(ROW(ΡΑΝΤΕΒΟΥ!$C$3:$C$102)-ROW(ΡΑΝΤΕΒΟΥ!$C$3)+1)/((ΡΑΝΤΕΒΟΥ!$B$3:$B$102=$B$2)*(ΡΑΝΤΕΒΟΥ!$H$3:$H$102&lt;&gt;"Ακυρώθηκε")),70)),"")</f>
        <v/>
      </c>
      <c r="F74" s="35" t="str">
        <f>IFERROR(INDEX(ΡΑΝΤΕΒΟΥ!$H$3:$H$102,_xlfn.AGGREGATE(15,6,(ROW(ΡΑΝΤΕΒΟΥ!$C$3:$C$102)-ROW(ΡΑΝΤΕΒΟΥ!$C$3)+1)/((ΡΑΝΤΕΒΟΥ!$B$3:$B$102=$B$2)*(ΡΑΝΤΕΒΟΥ!$H$3:$H$102&lt;&gt;"Ακυρώθηκε")),70)),"")</f>
        <v/>
      </c>
      <c r="G74" s="36"/>
    </row>
    <row r="75" spans="1:7" ht="15" customHeight="1" x14ac:dyDescent="0.25">
      <c r="A75" s="23" t="str">
        <f>IF($B75="","",71)</f>
        <v/>
      </c>
      <c r="B75" s="32" t="str">
        <f>IFERROR(INDEX(ΡΑΝΤΕΒΟΥ!$C$3:$C$102,_xlfn.AGGREGATE(15,6,(ROW(ΡΑΝΤΕΒΟΥ!$C$3:$C$102)-ROW(ΡΑΝΤΕΒΟΥ!$C$3)+1)/((ΡΑΝΤΕΒΟΥ!$B$3:$B$102=$B$2)*(ΡΑΝΤΕΒΟΥ!$H$3:$H$102&lt;&gt;"Ακυρώθηκε")),71)),"")</f>
        <v/>
      </c>
      <c r="C75" s="33" t="str">
        <f>IFERROR(INDEX(ΡΑΝΤΕΒΟΥ!$D$3:$D$102,_xlfn.AGGREGATE(15,6,(ROW(ΡΑΝΤΕΒΟΥ!$C$3:$C$102)-ROW(ΡΑΝΤΕΒΟΥ!$C$3)+1)/((ΡΑΝΤΕΒΟΥ!$B$3:$B$102=$B$2)*(ΡΑΝΤΕΒΟΥ!$H$3:$H$102&lt;&gt;"Ακυρώθηκε")),71)),"")</f>
        <v/>
      </c>
      <c r="D75" s="32" t="str">
        <f>IFERROR(INDEX(ΡΑΝΤΕΒΟΥ!$E$3:$E$102,_xlfn.AGGREGATE(15,6,(ROW(ΡΑΝΤΕΒΟΥ!$C$3:$C$102)-ROW(ΡΑΝΤΕΒΟΥ!$C$3)+1)/((ΡΑΝΤΕΒΟΥ!$B$3:$B$102=$B$2)*(ΡΑΝΤΕΒΟΥ!$H$3:$H$102&lt;&gt;"Ακυρώθηκε")),71)),"")</f>
        <v/>
      </c>
      <c r="E75" s="34" t="str">
        <f>IFERROR(INDEX(ΡΑΝΤΕΒΟΥ!$F$3:$F$102,_xlfn.AGGREGATE(15,6,(ROW(ΡΑΝΤΕΒΟΥ!$C$3:$C$102)-ROW(ΡΑΝΤΕΒΟΥ!$C$3)+1)/((ΡΑΝΤΕΒΟΥ!$B$3:$B$102=$B$2)*(ΡΑΝΤΕΒΟΥ!$H$3:$H$102&lt;&gt;"Ακυρώθηκε")),71)),"")</f>
        <v/>
      </c>
      <c r="F75" s="35" t="str">
        <f>IFERROR(INDEX(ΡΑΝΤΕΒΟΥ!$H$3:$H$102,_xlfn.AGGREGATE(15,6,(ROW(ΡΑΝΤΕΒΟΥ!$C$3:$C$102)-ROW(ΡΑΝΤΕΒΟΥ!$C$3)+1)/((ΡΑΝΤΕΒΟΥ!$B$3:$B$102=$B$2)*(ΡΑΝΤΕΒΟΥ!$H$3:$H$102&lt;&gt;"Ακυρώθηκε")),71)),"")</f>
        <v/>
      </c>
      <c r="G75" s="36"/>
    </row>
    <row r="76" spans="1:7" ht="15" customHeight="1" x14ac:dyDescent="0.25">
      <c r="A76" s="23" t="str">
        <f>IF($B76="","",72)</f>
        <v/>
      </c>
      <c r="B76" s="32" t="str">
        <f>IFERROR(INDEX(ΡΑΝΤΕΒΟΥ!$C$3:$C$102,_xlfn.AGGREGATE(15,6,(ROW(ΡΑΝΤΕΒΟΥ!$C$3:$C$102)-ROW(ΡΑΝΤΕΒΟΥ!$C$3)+1)/((ΡΑΝΤΕΒΟΥ!$B$3:$B$102=$B$2)*(ΡΑΝΤΕΒΟΥ!$H$3:$H$102&lt;&gt;"Ακυρώθηκε")),72)),"")</f>
        <v/>
      </c>
      <c r="C76" s="33" t="str">
        <f>IFERROR(INDEX(ΡΑΝΤΕΒΟΥ!$D$3:$D$102,_xlfn.AGGREGATE(15,6,(ROW(ΡΑΝΤΕΒΟΥ!$C$3:$C$102)-ROW(ΡΑΝΤΕΒΟΥ!$C$3)+1)/((ΡΑΝΤΕΒΟΥ!$B$3:$B$102=$B$2)*(ΡΑΝΤΕΒΟΥ!$H$3:$H$102&lt;&gt;"Ακυρώθηκε")),72)),"")</f>
        <v/>
      </c>
      <c r="D76" s="32" t="str">
        <f>IFERROR(INDEX(ΡΑΝΤΕΒΟΥ!$E$3:$E$102,_xlfn.AGGREGATE(15,6,(ROW(ΡΑΝΤΕΒΟΥ!$C$3:$C$102)-ROW(ΡΑΝΤΕΒΟΥ!$C$3)+1)/((ΡΑΝΤΕΒΟΥ!$B$3:$B$102=$B$2)*(ΡΑΝΤΕΒΟΥ!$H$3:$H$102&lt;&gt;"Ακυρώθηκε")),72)),"")</f>
        <v/>
      </c>
      <c r="E76" s="34" t="str">
        <f>IFERROR(INDEX(ΡΑΝΤΕΒΟΥ!$F$3:$F$102,_xlfn.AGGREGATE(15,6,(ROW(ΡΑΝΤΕΒΟΥ!$C$3:$C$102)-ROW(ΡΑΝΤΕΒΟΥ!$C$3)+1)/((ΡΑΝΤΕΒΟΥ!$B$3:$B$102=$B$2)*(ΡΑΝΤΕΒΟΥ!$H$3:$H$102&lt;&gt;"Ακυρώθηκε")),72)),"")</f>
        <v/>
      </c>
      <c r="F76" s="35" t="str">
        <f>IFERROR(INDEX(ΡΑΝΤΕΒΟΥ!$H$3:$H$102,_xlfn.AGGREGATE(15,6,(ROW(ΡΑΝΤΕΒΟΥ!$C$3:$C$102)-ROW(ΡΑΝΤΕΒΟΥ!$C$3)+1)/((ΡΑΝΤΕΒΟΥ!$B$3:$B$102=$B$2)*(ΡΑΝΤΕΒΟΥ!$H$3:$H$102&lt;&gt;"Ακυρώθηκε")),72)),"")</f>
        <v/>
      </c>
      <c r="G76" s="36"/>
    </row>
    <row r="77" spans="1:7" ht="15" customHeight="1" x14ac:dyDescent="0.25">
      <c r="A77" s="23" t="str">
        <f>IF($B77="","",73)</f>
        <v/>
      </c>
      <c r="B77" s="32" t="str">
        <f>IFERROR(INDEX(ΡΑΝΤΕΒΟΥ!$C$3:$C$102,_xlfn.AGGREGATE(15,6,(ROW(ΡΑΝΤΕΒΟΥ!$C$3:$C$102)-ROW(ΡΑΝΤΕΒΟΥ!$C$3)+1)/((ΡΑΝΤΕΒΟΥ!$B$3:$B$102=$B$2)*(ΡΑΝΤΕΒΟΥ!$H$3:$H$102&lt;&gt;"Ακυρώθηκε")),73)),"")</f>
        <v/>
      </c>
      <c r="C77" s="33" t="str">
        <f>IFERROR(INDEX(ΡΑΝΤΕΒΟΥ!$D$3:$D$102,_xlfn.AGGREGATE(15,6,(ROW(ΡΑΝΤΕΒΟΥ!$C$3:$C$102)-ROW(ΡΑΝΤΕΒΟΥ!$C$3)+1)/((ΡΑΝΤΕΒΟΥ!$B$3:$B$102=$B$2)*(ΡΑΝΤΕΒΟΥ!$H$3:$H$102&lt;&gt;"Ακυρώθηκε")),73)),"")</f>
        <v/>
      </c>
      <c r="D77" s="32" t="str">
        <f>IFERROR(INDEX(ΡΑΝΤΕΒΟΥ!$E$3:$E$102,_xlfn.AGGREGATE(15,6,(ROW(ΡΑΝΤΕΒΟΥ!$C$3:$C$102)-ROW(ΡΑΝΤΕΒΟΥ!$C$3)+1)/((ΡΑΝΤΕΒΟΥ!$B$3:$B$102=$B$2)*(ΡΑΝΤΕΒΟΥ!$H$3:$H$102&lt;&gt;"Ακυρώθηκε")),73)),"")</f>
        <v/>
      </c>
      <c r="E77" s="34" t="str">
        <f>IFERROR(INDEX(ΡΑΝΤΕΒΟΥ!$F$3:$F$102,_xlfn.AGGREGATE(15,6,(ROW(ΡΑΝΤΕΒΟΥ!$C$3:$C$102)-ROW(ΡΑΝΤΕΒΟΥ!$C$3)+1)/((ΡΑΝΤΕΒΟΥ!$B$3:$B$102=$B$2)*(ΡΑΝΤΕΒΟΥ!$H$3:$H$102&lt;&gt;"Ακυρώθηκε")),73)),"")</f>
        <v/>
      </c>
      <c r="F77" s="35" t="str">
        <f>IFERROR(INDEX(ΡΑΝΤΕΒΟΥ!$H$3:$H$102,_xlfn.AGGREGATE(15,6,(ROW(ΡΑΝΤΕΒΟΥ!$C$3:$C$102)-ROW(ΡΑΝΤΕΒΟΥ!$C$3)+1)/((ΡΑΝΤΕΒΟΥ!$B$3:$B$102=$B$2)*(ΡΑΝΤΕΒΟΥ!$H$3:$H$102&lt;&gt;"Ακυρώθηκε")),73)),"")</f>
        <v/>
      </c>
      <c r="G77" s="36"/>
    </row>
    <row r="78" spans="1:7" ht="15" customHeight="1" x14ac:dyDescent="0.25">
      <c r="A78" s="23" t="str">
        <f>IF($B78="","",74)</f>
        <v/>
      </c>
      <c r="B78" s="32" t="str">
        <f>IFERROR(INDEX(ΡΑΝΤΕΒΟΥ!$C$3:$C$102,_xlfn.AGGREGATE(15,6,(ROW(ΡΑΝΤΕΒΟΥ!$C$3:$C$102)-ROW(ΡΑΝΤΕΒΟΥ!$C$3)+1)/((ΡΑΝΤΕΒΟΥ!$B$3:$B$102=$B$2)*(ΡΑΝΤΕΒΟΥ!$H$3:$H$102&lt;&gt;"Ακυρώθηκε")),74)),"")</f>
        <v/>
      </c>
      <c r="C78" s="33" t="str">
        <f>IFERROR(INDEX(ΡΑΝΤΕΒΟΥ!$D$3:$D$102,_xlfn.AGGREGATE(15,6,(ROW(ΡΑΝΤΕΒΟΥ!$C$3:$C$102)-ROW(ΡΑΝΤΕΒΟΥ!$C$3)+1)/((ΡΑΝΤΕΒΟΥ!$B$3:$B$102=$B$2)*(ΡΑΝΤΕΒΟΥ!$H$3:$H$102&lt;&gt;"Ακυρώθηκε")),74)),"")</f>
        <v/>
      </c>
      <c r="D78" s="32" t="str">
        <f>IFERROR(INDEX(ΡΑΝΤΕΒΟΥ!$E$3:$E$102,_xlfn.AGGREGATE(15,6,(ROW(ΡΑΝΤΕΒΟΥ!$C$3:$C$102)-ROW(ΡΑΝΤΕΒΟΥ!$C$3)+1)/((ΡΑΝΤΕΒΟΥ!$B$3:$B$102=$B$2)*(ΡΑΝΤΕΒΟΥ!$H$3:$H$102&lt;&gt;"Ακυρώθηκε")),74)),"")</f>
        <v/>
      </c>
      <c r="E78" s="34" t="str">
        <f>IFERROR(INDEX(ΡΑΝΤΕΒΟΥ!$F$3:$F$102,_xlfn.AGGREGATE(15,6,(ROW(ΡΑΝΤΕΒΟΥ!$C$3:$C$102)-ROW(ΡΑΝΤΕΒΟΥ!$C$3)+1)/((ΡΑΝΤΕΒΟΥ!$B$3:$B$102=$B$2)*(ΡΑΝΤΕΒΟΥ!$H$3:$H$102&lt;&gt;"Ακυρώθηκε")),74)),"")</f>
        <v/>
      </c>
      <c r="F78" s="35" t="str">
        <f>IFERROR(INDEX(ΡΑΝΤΕΒΟΥ!$H$3:$H$102,_xlfn.AGGREGATE(15,6,(ROW(ΡΑΝΤΕΒΟΥ!$C$3:$C$102)-ROW(ΡΑΝΤΕΒΟΥ!$C$3)+1)/((ΡΑΝΤΕΒΟΥ!$B$3:$B$102=$B$2)*(ΡΑΝΤΕΒΟΥ!$H$3:$H$102&lt;&gt;"Ακυρώθηκε")),74)),"")</f>
        <v/>
      </c>
      <c r="G78" s="36"/>
    </row>
    <row r="79" spans="1:7" ht="15" customHeight="1" x14ac:dyDescent="0.25">
      <c r="A79" s="23" t="str">
        <f>IF($B79="","",75)</f>
        <v/>
      </c>
      <c r="B79" s="32" t="str">
        <f>IFERROR(INDEX(ΡΑΝΤΕΒΟΥ!$C$3:$C$102,_xlfn.AGGREGATE(15,6,(ROW(ΡΑΝΤΕΒΟΥ!$C$3:$C$102)-ROW(ΡΑΝΤΕΒΟΥ!$C$3)+1)/((ΡΑΝΤΕΒΟΥ!$B$3:$B$102=$B$2)*(ΡΑΝΤΕΒΟΥ!$H$3:$H$102&lt;&gt;"Ακυρώθηκε")),75)),"")</f>
        <v/>
      </c>
      <c r="C79" s="33" t="str">
        <f>IFERROR(INDEX(ΡΑΝΤΕΒΟΥ!$D$3:$D$102,_xlfn.AGGREGATE(15,6,(ROW(ΡΑΝΤΕΒΟΥ!$C$3:$C$102)-ROW(ΡΑΝΤΕΒΟΥ!$C$3)+1)/((ΡΑΝΤΕΒΟΥ!$B$3:$B$102=$B$2)*(ΡΑΝΤΕΒΟΥ!$H$3:$H$102&lt;&gt;"Ακυρώθηκε")),75)),"")</f>
        <v/>
      </c>
      <c r="D79" s="32" t="str">
        <f>IFERROR(INDEX(ΡΑΝΤΕΒΟΥ!$E$3:$E$102,_xlfn.AGGREGATE(15,6,(ROW(ΡΑΝΤΕΒΟΥ!$C$3:$C$102)-ROW(ΡΑΝΤΕΒΟΥ!$C$3)+1)/((ΡΑΝΤΕΒΟΥ!$B$3:$B$102=$B$2)*(ΡΑΝΤΕΒΟΥ!$H$3:$H$102&lt;&gt;"Ακυρώθηκε")),75)),"")</f>
        <v/>
      </c>
      <c r="E79" s="34" t="str">
        <f>IFERROR(INDEX(ΡΑΝΤΕΒΟΥ!$F$3:$F$102,_xlfn.AGGREGATE(15,6,(ROW(ΡΑΝΤΕΒΟΥ!$C$3:$C$102)-ROW(ΡΑΝΤΕΒΟΥ!$C$3)+1)/((ΡΑΝΤΕΒΟΥ!$B$3:$B$102=$B$2)*(ΡΑΝΤΕΒΟΥ!$H$3:$H$102&lt;&gt;"Ακυρώθηκε")),75)),"")</f>
        <v/>
      </c>
      <c r="F79" s="35" t="str">
        <f>IFERROR(INDEX(ΡΑΝΤΕΒΟΥ!$H$3:$H$102,_xlfn.AGGREGATE(15,6,(ROW(ΡΑΝΤΕΒΟΥ!$C$3:$C$102)-ROW(ΡΑΝΤΕΒΟΥ!$C$3)+1)/((ΡΑΝΤΕΒΟΥ!$B$3:$B$102=$B$2)*(ΡΑΝΤΕΒΟΥ!$H$3:$H$102&lt;&gt;"Ακυρώθηκε")),75)),"")</f>
        <v/>
      </c>
      <c r="G79" s="36"/>
    </row>
    <row r="80" spans="1:7" ht="15" customHeight="1" x14ac:dyDescent="0.25">
      <c r="A80" s="23" t="str">
        <f>IF($B80="","",76)</f>
        <v/>
      </c>
      <c r="B80" s="32" t="str">
        <f>IFERROR(INDEX(ΡΑΝΤΕΒΟΥ!$C$3:$C$102,_xlfn.AGGREGATE(15,6,(ROW(ΡΑΝΤΕΒΟΥ!$C$3:$C$102)-ROW(ΡΑΝΤΕΒΟΥ!$C$3)+1)/((ΡΑΝΤΕΒΟΥ!$B$3:$B$102=$B$2)*(ΡΑΝΤΕΒΟΥ!$H$3:$H$102&lt;&gt;"Ακυρώθηκε")),76)),"")</f>
        <v/>
      </c>
      <c r="C80" s="33" t="str">
        <f>IFERROR(INDEX(ΡΑΝΤΕΒΟΥ!$D$3:$D$102,_xlfn.AGGREGATE(15,6,(ROW(ΡΑΝΤΕΒΟΥ!$C$3:$C$102)-ROW(ΡΑΝΤΕΒΟΥ!$C$3)+1)/((ΡΑΝΤΕΒΟΥ!$B$3:$B$102=$B$2)*(ΡΑΝΤΕΒΟΥ!$H$3:$H$102&lt;&gt;"Ακυρώθηκε")),76)),"")</f>
        <v/>
      </c>
      <c r="D80" s="32" t="str">
        <f>IFERROR(INDEX(ΡΑΝΤΕΒΟΥ!$E$3:$E$102,_xlfn.AGGREGATE(15,6,(ROW(ΡΑΝΤΕΒΟΥ!$C$3:$C$102)-ROW(ΡΑΝΤΕΒΟΥ!$C$3)+1)/((ΡΑΝΤΕΒΟΥ!$B$3:$B$102=$B$2)*(ΡΑΝΤΕΒΟΥ!$H$3:$H$102&lt;&gt;"Ακυρώθηκε")),76)),"")</f>
        <v/>
      </c>
      <c r="E80" s="34" t="str">
        <f>IFERROR(INDEX(ΡΑΝΤΕΒΟΥ!$F$3:$F$102,_xlfn.AGGREGATE(15,6,(ROW(ΡΑΝΤΕΒΟΥ!$C$3:$C$102)-ROW(ΡΑΝΤΕΒΟΥ!$C$3)+1)/((ΡΑΝΤΕΒΟΥ!$B$3:$B$102=$B$2)*(ΡΑΝΤΕΒΟΥ!$H$3:$H$102&lt;&gt;"Ακυρώθηκε")),76)),"")</f>
        <v/>
      </c>
      <c r="F80" s="35" t="str">
        <f>IFERROR(INDEX(ΡΑΝΤΕΒΟΥ!$H$3:$H$102,_xlfn.AGGREGATE(15,6,(ROW(ΡΑΝΤΕΒΟΥ!$C$3:$C$102)-ROW(ΡΑΝΤΕΒΟΥ!$C$3)+1)/((ΡΑΝΤΕΒΟΥ!$B$3:$B$102=$B$2)*(ΡΑΝΤΕΒΟΥ!$H$3:$H$102&lt;&gt;"Ακυρώθηκε")),76)),"")</f>
        <v/>
      </c>
      <c r="G80" s="36"/>
    </row>
    <row r="81" spans="1:7" ht="15" customHeight="1" x14ac:dyDescent="0.25">
      <c r="A81" s="23" t="str">
        <f>IF($B81="","",77)</f>
        <v/>
      </c>
      <c r="B81" s="32" t="str">
        <f>IFERROR(INDEX(ΡΑΝΤΕΒΟΥ!$C$3:$C$102,_xlfn.AGGREGATE(15,6,(ROW(ΡΑΝΤΕΒΟΥ!$C$3:$C$102)-ROW(ΡΑΝΤΕΒΟΥ!$C$3)+1)/((ΡΑΝΤΕΒΟΥ!$B$3:$B$102=$B$2)*(ΡΑΝΤΕΒΟΥ!$H$3:$H$102&lt;&gt;"Ακυρώθηκε")),77)),"")</f>
        <v/>
      </c>
      <c r="C81" s="33" t="str">
        <f>IFERROR(INDEX(ΡΑΝΤΕΒΟΥ!$D$3:$D$102,_xlfn.AGGREGATE(15,6,(ROW(ΡΑΝΤΕΒΟΥ!$C$3:$C$102)-ROW(ΡΑΝΤΕΒΟΥ!$C$3)+1)/((ΡΑΝΤΕΒΟΥ!$B$3:$B$102=$B$2)*(ΡΑΝΤΕΒΟΥ!$H$3:$H$102&lt;&gt;"Ακυρώθηκε")),77)),"")</f>
        <v/>
      </c>
      <c r="D81" s="32" t="str">
        <f>IFERROR(INDEX(ΡΑΝΤΕΒΟΥ!$E$3:$E$102,_xlfn.AGGREGATE(15,6,(ROW(ΡΑΝΤΕΒΟΥ!$C$3:$C$102)-ROW(ΡΑΝΤΕΒΟΥ!$C$3)+1)/((ΡΑΝΤΕΒΟΥ!$B$3:$B$102=$B$2)*(ΡΑΝΤΕΒΟΥ!$H$3:$H$102&lt;&gt;"Ακυρώθηκε")),77)),"")</f>
        <v/>
      </c>
      <c r="E81" s="34" t="str">
        <f>IFERROR(INDEX(ΡΑΝΤΕΒΟΥ!$F$3:$F$102,_xlfn.AGGREGATE(15,6,(ROW(ΡΑΝΤΕΒΟΥ!$C$3:$C$102)-ROW(ΡΑΝΤΕΒΟΥ!$C$3)+1)/((ΡΑΝΤΕΒΟΥ!$B$3:$B$102=$B$2)*(ΡΑΝΤΕΒΟΥ!$H$3:$H$102&lt;&gt;"Ακυρώθηκε")),77)),"")</f>
        <v/>
      </c>
      <c r="F81" s="35" t="str">
        <f>IFERROR(INDEX(ΡΑΝΤΕΒΟΥ!$H$3:$H$102,_xlfn.AGGREGATE(15,6,(ROW(ΡΑΝΤΕΒΟΥ!$C$3:$C$102)-ROW(ΡΑΝΤΕΒΟΥ!$C$3)+1)/((ΡΑΝΤΕΒΟΥ!$B$3:$B$102=$B$2)*(ΡΑΝΤΕΒΟΥ!$H$3:$H$102&lt;&gt;"Ακυρώθηκε")),77)),"")</f>
        <v/>
      </c>
      <c r="G81" s="36"/>
    </row>
    <row r="82" spans="1:7" ht="15" customHeight="1" x14ac:dyDescent="0.25">
      <c r="A82" s="23" t="str">
        <f>IF($B82="","",78)</f>
        <v/>
      </c>
      <c r="B82" s="32" t="str">
        <f>IFERROR(INDEX(ΡΑΝΤΕΒΟΥ!$C$3:$C$102,_xlfn.AGGREGATE(15,6,(ROW(ΡΑΝΤΕΒΟΥ!$C$3:$C$102)-ROW(ΡΑΝΤΕΒΟΥ!$C$3)+1)/((ΡΑΝΤΕΒΟΥ!$B$3:$B$102=$B$2)*(ΡΑΝΤΕΒΟΥ!$H$3:$H$102&lt;&gt;"Ακυρώθηκε")),78)),"")</f>
        <v/>
      </c>
      <c r="C82" s="33" t="str">
        <f>IFERROR(INDEX(ΡΑΝΤΕΒΟΥ!$D$3:$D$102,_xlfn.AGGREGATE(15,6,(ROW(ΡΑΝΤΕΒΟΥ!$C$3:$C$102)-ROW(ΡΑΝΤΕΒΟΥ!$C$3)+1)/((ΡΑΝΤΕΒΟΥ!$B$3:$B$102=$B$2)*(ΡΑΝΤΕΒΟΥ!$H$3:$H$102&lt;&gt;"Ακυρώθηκε")),78)),"")</f>
        <v/>
      </c>
      <c r="D82" s="32" t="str">
        <f>IFERROR(INDEX(ΡΑΝΤΕΒΟΥ!$E$3:$E$102,_xlfn.AGGREGATE(15,6,(ROW(ΡΑΝΤΕΒΟΥ!$C$3:$C$102)-ROW(ΡΑΝΤΕΒΟΥ!$C$3)+1)/((ΡΑΝΤΕΒΟΥ!$B$3:$B$102=$B$2)*(ΡΑΝΤΕΒΟΥ!$H$3:$H$102&lt;&gt;"Ακυρώθηκε")),78)),"")</f>
        <v/>
      </c>
      <c r="E82" s="34" t="str">
        <f>IFERROR(INDEX(ΡΑΝΤΕΒΟΥ!$F$3:$F$102,_xlfn.AGGREGATE(15,6,(ROW(ΡΑΝΤΕΒΟΥ!$C$3:$C$102)-ROW(ΡΑΝΤΕΒΟΥ!$C$3)+1)/((ΡΑΝΤΕΒΟΥ!$B$3:$B$102=$B$2)*(ΡΑΝΤΕΒΟΥ!$H$3:$H$102&lt;&gt;"Ακυρώθηκε")),78)),"")</f>
        <v/>
      </c>
      <c r="F82" s="35" t="str">
        <f>IFERROR(INDEX(ΡΑΝΤΕΒΟΥ!$H$3:$H$102,_xlfn.AGGREGATE(15,6,(ROW(ΡΑΝΤΕΒΟΥ!$C$3:$C$102)-ROW(ΡΑΝΤΕΒΟΥ!$C$3)+1)/((ΡΑΝΤΕΒΟΥ!$B$3:$B$102=$B$2)*(ΡΑΝΤΕΒΟΥ!$H$3:$H$102&lt;&gt;"Ακυρώθηκε")),78)),"")</f>
        <v/>
      </c>
      <c r="G82" s="36"/>
    </row>
    <row r="83" spans="1:7" ht="15" customHeight="1" x14ac:dyDescent="0.25">
      <c r="A83" s="23" t="str">
        <f>IF($B83="","",79)</f>
        <v/>
      </c>
      <c r="B83" s="32" t="str">
        <f>IFERROR(INDEX(ΡΑΝΤΕΒΟΥ!$C$3:$C$102,_xlfn.AGGREGATE(15,6,(ROW(ΡΑΝΤΕΒΟΥ!$C$3:$C$102)-ROW(ΡΑΝΤΕΒΟΥ!$C$3)+1)/((ΡΑΝΤΕΒΟΥ!$B$3:$B$102=$B$2)*(ΡΑΝΤΕΒΟΥ!$H$3:$H$102&lt;&gt;"Ακυρώθηκε")),79)),"")</f>
        <v/>
      </c>
      <c r="C83" s="33" t="str">
        <f>IFERROR(INDEX(ΡΑΝΤΕΒΟΥ!$D$3:$D$102,_xlfn.AGGREGATE(15,6,(ROW(ΡΑΝΤΕΒΟΥ!$C$3:$C$102)-ROW(ΡΑΝΤΕΒΟΥ!$C$3)+1)/((ΡΑΝΤΕΒΟΥ!$B$3:$B$102=$B$2)*(ΡΑΝΤΕΒΟΥ!$H$3:$H$102&lt;&gt;"Ακυρώθηκε")),79)),"")</f>
        <v/>
      </c>
      <c r="D83" s="32" t="str">
        <f>IFERROR(INDEX(ΡΑΝΤΕΒΟΥ!$E$3:$E$102,_xlfn.AGGREGATE(15,6,(ROW(ΡΑΝΤΕΒΟΥ!$C$3:$C$102)-ROW(ΡΑΝΤΕΒΟΥ!$C$3)+1)/((ΡΑΝΤΕΒΟΥ!$B$3:$B$102=$B$2)*(ΡΑΝΤΕΒΟΥ!$H$3:$H$102&lt;&gt;"Ακυρώθηκε")),79)),"")</f>
        <v/>
      </c>
      <c r="E83" s="34" t="str">
        <f>IFERROR(INDEX(ΡΑΝΤΕΒΟΥ!$F$3:$F$102,_xlfn.AGGREGATE(15,6,(ROW(ΡΑΝΤΕΒΟΥ!$C$3:$C$102)-ROW(ΡΑΝΤΕΒΟΥ!$C$3)+1)/((ΡΑΝΤΕΒΟΥ!$B$3:$B$102=$B$2)*(ΡΑΝΤΕΒΟΥ!$H$3:$H$102&lt;&gt;"Ακυρώθηκε")),79)),"")</f>
        <v/>
      </c>
      <c r="F83" s="35" t="str">
        <f>IFERROR(INDEX(ΡΑΝΤΕΒΟΥ!$H$3:$H$102,_xlfn.AGGREGATE(15,6,(ROW(ΡΑΝΤΕΒΟΥ!$C$3:$C$102)-ROW(ΡΑΝΤΕΒΟΥ!$C$3)+1)/((ΡΑΝΤΕΒΟΥ!$B$3:$B$102=$B$2)*(ΡΑΝΤΕΒΟΥ!$H$3:$H$102&lt;&gt;"Ακυρώθηκε")),79)),"")</f>
        <v/>
      </c>
      <c r="G83" s="36"/>
    </row>
    <row r="84" spans="1:7" ht="15" customHeight="1" x14ac:dyDescent="0.25">
      <c r="A84" s="23" t="str">
        <f>IF($B84="","",80)</f>
        <v/>
      </c>
      <c r="B84" s="32" t="str">
        <f>IFERROR(INDEX(ΡΑΝΤΕΒΟΥ!$C$3:$C$102,_xlfn.AGGREGATE(15,6,(ROW(ΡΑΝΤΕΒΟΥ!$C$3:$C$102)-ROW(ΡΑΝΤΕΒΟΥ!$C$3)+1)/((ΡΑΝΤΕΒΟΥ!$B$3:$B$102=$B$2)*(ΡΑΝΤΕΒΟΥ!$H$3:$H$102&lt;&gt;"Ακυρώθηκε")),80)),"")</f>
        <v/>
      </c>
      <c r="C84" s="33" t="str">
        <f>IFERROR(INDEX(ΡΑΝΤΕΒΟΥ!$D$3:$D$102,_xlfn.AGGREGATE(15,6,(ROW(ΡΑΝΤΕΒΟΥ!$C$3:$C$102)-ROW(ΡΑΝΤΕΒΟΥ!$C$3)+1)/((ΡΑΝΤΕΒΟΥ!$B$3:$B$102=$B$2)*(ΡΑΝΤΕΒΟΥ!$H$3:$H$102&lt;&gt;"Ακυρώθηκε")),80)),"")</f>
        <v/>
      </c>
      <c r="D84" s="32" t="str">
        <f>IFERROR(INDEX(ΡΑΝΤΕΒΟΥ!$E$3:$E$102,_xlfn.AGGREGATE(15,6,(ROW(ΡΑΝΤΕΒΟΥ!$C$3:$C$102)-ROW(ΡΑΝΤΕΒΟΥ!$C$3)+1)/((ΡΑΝΤΕΒΟΥ!$B$3:$B$102=$B$2)*(ΡΑΝΤΕΒΟΥ!$H$3:$H$102&lt;&gt;"Ακυρώθηκε")),80)),"")</f>
        <v/>
      </c>
      <c r="E84" s="34" t="str">
        <f>IFERROR(INDEX(ΡΑΝΤΕΒΟΥ!$F$3:$F$102,_xlfn.AGGREGATE(15,6,(ROW(ΡΑΝΤΕΒΟΥ!$C$3:$C$102)-ROW(ΡΑΝΤΕΒΟΥ!$C$3)+1)/((ΡΑΝΤΕΒΟΥ!$B$3:$B$102=$B$2)*(ΡΑΝΤΕΒΟΥ!$H$3:$H$102&lt;&gt;"Ακυρώθηκε")),80)),"")</f>
        <v/>
      </c>
      <c r="F84" s="35" t="str">
        <f>IFERROR(INDEX(ΡΑΝΤΕΒΟΥ!$H$3:$H$102,_xlfn.AGGREGATE(15,6,(ROW(ΡΑΝΤΕΒΟΥ!$C$3:$C$102)-ROW(ΡΑΝΤΕΒΟΥ!$C$3)+1)/((ΡΑΝΤΕΒΟΥ!$B$3:$B$102=$B$2)*(ΡΑΝΤΕΒΟΥ!$H$3:$H$102&lt;&gt;"Ακυρώθηκε")),80)),"")</f>
        <v/>
      </c>
      <c r="G84" s="36"/>
    </row>
    <row r="85" spans="1:7" ht="15" customHeight="1" x14ac:dyDescent="0.25">
      <c r="A85" s="23" t="str">
        <f>IF($B85="","",81)</f>
        <v/>
      </c>
      <c r="B85" s="32" t="str">
        <f>IFERROR(INDEX(ΡΑΝΤΕΒΟΥ!$C$3:$C$102,_xlfn.AGGREGATE(15,6,(ROW(ΡΑΝΤΕΒΟΥ!$C$3:$C$102)-ROW(ΡΑΝΤΕΒΟΥ!$C$3)+1)/((ΡΑΝΤΕΒΟΥ!$B$3:$B$102=$B$2)*(ΡΑΝΤΕΒΟΥ!$H$3:$H$102&lt;&gt;"Ακυρώθηκε")),81)),"")</f>
        <v/>
      </c>
      <c r="C85" s="33" t="str">
        <f>IFERROR(INDEX(ΡΑΝΤΕΒΟΥ!$D$3:$D$102,_xlfn.AGGREGATE(15,6,(ROW(ΡΑΝΤΕΒΟΥ!$C$3:$C$102)-ROW(ΡΑΝΤΕΒΟΥ!$C$3)+1)/((ΡΑΝΤΕΒΟΥ!$B$3:$B$102=$B$2)*(ΡΑΝΤΕΒΟΥ!$H$3:$H$102&lt;&gt;"Ακυρώθηκε")),81)),"")</f>
        <v/>
      </c>
      <c r="D85" s="32" t="str">
        <f>IFERROR(INDEX(ΡΑΝΤΕΒΟΥ!$E$3:$E$102,_xlfn.AGGREGATE(15,6,(ROW(ΡΑΝΤΕΒΟΥ!$C$3:$C$102)-ROW(ΡΑΝΤΕΒΟΥ!$C$3)+1)/((ΡΑΝΤΕΒΟΥ!$B$3:$B$102=$B$2)*(ΡΑΝΤΕΒΟΥ!$H$3:$H$102&lt;&gt;"Ακυρώθηκε")),81)),"")</f>
        <v/>
      </c>
      <c r="E85" s="34" t="str">
        <f>IFERROR(INDEX(ΡΑΝΤΕΒΟΥ!$F$3:$F$102,_xlfn.AGGREGATE(15,6,(ROW(ΡΑΝΤΕΒΟΥ!$C$3:$C$102)-ROW(ΡΑΝΤΕΒΟΥ!$C$3)+1)/((ΡΑΝΤΕΒΟΥ!$B$3:$B$102=$B$2)*(ΡΑΝΤΕΒΟΥ!$H$3:$H$102&lt;&gt;"Ακυρώθηκε")),81)),"")</f>
        <v/>
      </c>
      <c r="F85" s="35" t="str">
        <f>IFERROR(INDEX(ΡΑΝΤΕΒΟΥ!$H$3:$H$102,_xlfn.AGGREGATE(15,6,(ROW(ΡΑΝΤΕΒΟΥ!$C$3:$C$102)-ROW(ΡΑΝΤΕΒΟΥ!$C$3)+1)/((ΡΑΝΤΕΒΟΥ!$B$3:$B$102=$B$2)*(ΡΑΝΤΕΒΟΥ!$H$3:$H$102&lt;&gt;"Ακυρώθηκε")),81)),"")</f>
        <v/>
      </c>
      <c r="G85" s="36"/>
    </row>
    <row r="86" spans="1:7" ht="15" customHeight="1" x14ac:dyDescent="0.25">
      <c r="A86" s="23" t="str">
        <f>IF($B86="","",82)</f>
        <v/>
      </c>
      <c r="B86" s="32" t="str">
        <f>IFERROR(INDEX(ΡΑΝΤΕΒΟΥ!$C$3:$C$102,_xlfn.AGGREGATE(15,6,(ROW(ΡΑΝΤΕΒΟΥ!$C$3:$C$102)-ROW(ΡΑΝΤΕΒΟΥ!$C$3)+1)/((ΡΑΝΤΕΒΟΥ!$B$3:$B$102=$B$2)*(ΡΑΝΤΕΒΟΥ!$H$3:$H$102&lt;&gt;"Ακυρώθηκε")),82)),"")</f>
        <v/>
      </c>
      <c r="C86" s="33" t="str">
        <f>IFERROR(INDEX(ΡΑΝΤΕΒΟΥ!$D$3:$D$102,_xlfn.AGGREGATE(15,6,(ROW(ΡΑΝΤΕΒΟΥ!$C$3:$C$102)-ROW(ΡΑΝΤΕΒΟΥ!$C$3)+1)/((ΡΑΝΤΕΒΟΥ!$B$3:$B$102=$B$2)*(ΡΑΝΤΕΒΟΥ!$H$3:$H$102&lt;&gt;"Ακυρώθηκε")),82)),"")</f>
        <v/>
      </c>
      <c r="D86" s="32" t="str">
        <f>IFERROR(INDEX(ΡΑΝΤΕΒΟΥ!$E$3:$E$102,_xlfn.AGGREGATE(15,6,(ROW(ΡΑΝΤΕΒΟΥ!$C$3:$C$102)-ROW(ΡΑΝΤΕΒΟΥ!$C$3)+1)/((ΡΑΝΤΕΒΟΥ!$B$3:$B$102=$B$2)*(ΡΑΝΤΕΒΟΥ!$H$3:$H$102&lt;&gt;"Ακυρώθηκε")),82)),"")</f>
        <v/>
      </c>
      <c r="E86" s="34" t="str">
        <f>IFERROR(INDEX(ΡΑΝΤΕΒΟΥ!$F$3:$F$102,_xlfn.AGGREGATE(15,6,(ROW(ΡΑΝΤΕΒΟΥ!$C$3:$C$102)-ROW(ΡΑΝΤΕΒΟΥ!$C$3)+1)/((ΡΑΝΤΕΒΟΥ!$B$3:$B$102=$B$2)*(ΡΑΝΤΕΒΟΥ!$H$3:$H$102&lt;&gt;"Ακυρώθηκε")),82)),"")</f>
        <v/>
      </c>
      <c r="F86" s="35" t="str">
        <f>IFERROR(INDEX(ΡΑΝΤΕΒΟΥ!$H$3:$H$102,_xlfn.AGGREGATE(15,6,(ROW(ΡΑΝΤΕΒΟΥ!$C$3:$C$102)-ROW(ΡΑΝΤΕΒΟΥ!$C$3)+1)/((ΡΑΝΤΕΒΟΥ!$B$3:$B$102=$B$2)*(ΡΑΝΤΕΒΟΥ!$H$3:$H$102&lt;&gt;"Ακυρώθηκε")),82)),"")</f>
        <v/>
      </c>
      <c r="G86" s="36"/>
    </row>
    <row r="87" spans="1:7" ht="15" customHeight="1" x14ac:dyDescent="0.25">
      <c r="A87" s="23" t="str">
        <f>IF($B87="","",83)</f>
        <v/>
      </c>
      <c r="B87" s="32" t="str">
        <f>IFERROR(INDEX(ΡΑΝΤΕΒΟΥ!$C$3:$C$102,_xlfn.AGGREGATE(15,6,(ROW(ΡΑΝΤΕΒΟΥ!$C$3:$C$102)-ROW(ΡΑΝΤΕΒΟΥ!$C$3)+1)/((ΡΑΝΤΕΒΟΥ!$B$3:$B$102=$B$2)*(ΡΑΝΤΕΒΟΥ!$H$3:$H$102&lt;&gt;"Ακυρώθηκε")),83)),"")</f>
        <v/>
      </c>
      <c r="C87" s="33" t="str">
        <f>IFERROR(INDEX(ΡΑΝΤΕΒΟΥ!$D$3:$D$102,_xlfn.AGGREGATE(15,6,(ROW(ΡΑΝΤΕΒΟΥ!$C$3:$C$102)-ROW(ΡΑΝΤΕΒΟΥ!$C$3)+1)/((ΡΑΝΤΕΒΟΥ!$B$3:$B$102=$B$2)*(ΡΑΝΤΕΒΟΥ!$H$3:$H$102&lt;&gt;"Ακυρώθηκε")),83)),"")</f>
        <v/>
      </c>
      <c r="D87" s="32" t="str">
        <f>IFERROR(INDEX(ΡΑΝΤΕΒΟΥ!$E$3:$E$102,_xlfn.AGGREGATE(15,6,(ROW(ΡΑΝΤΕΒΟΥ!$C$3:$C$102)-ROW(ΡΑΝΤΕΒΟΥ!$C$3)+1)/((ΡΑΝΤΕΒΟΥ!$B$3:$B$102=$B$2)*(ΡΑΝΤΕΒΟΥ!$H$3:$H$102&lt;&gt;"Ακυρώθηκε")),83)),"")</f>
        <v/>
      </c>
      <c r="E87" s="34" t="str">
        <f>IFERROR(INDEX(ΡΑΝΤΕΒΟΥ!$F$3:$F$102,_xlfn.AGGREGATE(15,6,(ROW(ΡΑΝΤΕΒΟΥ!$C$3:$C$102)-ROW(ΡΑΝΤΕΒΟΥ!$C$3)+1)/((ΡΑΝΤΕΒΟΥ!$B$3:$B$102=$B$2)*(ΡΑΝΤΕΒΟΥ!$H$3:$H$102&lt;&gt;"Ακυρώθηκε")),83)),"")</f>
        <v/>
      </c>
      <c r="F87" s="35" t="str">
        <f>IFERROR(INDEX(ΡΑΝΤΕΒΟΥ!$H$3:$H$102,_xlfn.AGGREGATE(15,6,(ROW(ΡΑΝΤΕΒΟΥ!$C$3:$C$102)-ROW(ΡΑΝΤΕΒΟΥ!$C$3)+1)/((ΡΑΝΤΕΒΟΥ!$B$3:$B$102=$B$2)*(ΡΑΝΤΕΒΟΥ!$H$3:$H$102&lt;&gt;"Ακυρώθηκε")),83)),"")</f>
        <v/>
      </c>
      <c r="G87" s="36"/>
    </row>
    <row r="88" spans="1:7" ht="15" customHeight="1" x14ac:dyDescent="0.25">
      <c r="A88" s="23" t="str">
        <f>IF($B88="","",84)</f>
        <v/>
      </c>
      <c r="B88" s="32" t="str">
        <f>IFERROR(INDEX(ΡΑΝΤΕΒΟΥ!$C$3:$C$102,_xlfn.AGGREGATE(15,6,(ROW(ΡΑΝΤΕΒΟΥ!$C$3:$C$102)-ROW(ΡΑΝΤΕΒΟΥ!$C$3)+1)/((ΡΑΝΤΕΒΟΥ!$B$3:$B$102=$B$2)*(ΡΑΝΤΕΒΟΥ!$H$3:$H$102&lt;&gt;"Ακυρώθηκε")),84)),"")</f>
        <v/>
      </c>
      <c r="C88" s="33" t="str">
        <f>IFERROR(INDEX(ΡΑΝΤΕΒΟΥ!$D$3:$D$102,_xlfn.AGGREGATE(15,6,(ROW(ΡΑΝΤΕΒΟΥ!$C$3:$C$102)-ROW(ΡΑΝΤΕΒΟΥ!$C$3)+1)/((ΡΑΝΤΕΒΟΥ!$B$3:$B$102=$B$2)*(ΡΑΝΤΕΒΟΥ!$H$3:$H$102&lt;&gt;"Ακυρώθηκε")),84)),"")</f>
        <v/>
      </c>
      <c r="D88" s="32" t="str">
        <f>IFERROR(INDEX(ΡΑΝΤΕΒΟΥ!$E$3:$E$102,_xlfn.AGGREGATE(15,6,(ROW(ΡΑΝΤΕΒΟΥ!$C$3:$C$102)-ROW(ΡΑΝΤΕΒΟΥ!$C$3)+1)/((ΡΑΝΤΕΒΟΥ!$B$3:$B$102=$B$2)*(ΡΑΝΤΕΒΟΥ!$H$3:$H$102&lt;&gt;"Ακυρώθηκε")),84)),"")</f>
        <v/>
      </c>
      <c r="E88" s="34" t="str">
        <f>IFERROR(INDEX(ΡΑΝΤΕΒΟΥ!$F$3:$F$102,_xlfn.AGGREGATE(15,6,(ROW(ΡΑΝΤΕΒΟΥ!$C$3:$C$102)-ROW(ΡΑΝΤΕΒΟΥ!$C$3)+1)/((ΡΑΝΤΕΒΟΥ!$B$3:$B$102=$B$2)*(ΡΑΝΤΕΒΟΥ!$H$3:$H$102&lt;&gt;"Ακυρώθηκε")),84)),"")</f>
        <v/>
      </c>
      <c r="F88" s="35" t="str">
        <f>IFERROR(INDEX(ΡΑΝΤΕΒΟΥ!$H$3:$H$102,_xlfn.AGGREGATE(15,6,(ROW(ΡΑΝΤΕΒΟΥ!$C$3:$C$102)-ROW(ΡΑΝΤΕΒΟΥ!$C$3)+1)/((ΡΑΝΤΕΒΟΥ!$B$3:$B$102=$B$2)*(ΡΑΝΤΕΒΟΥ!$H$3:$H$102&lt;&gt;"Ακυρώθηκε")),84)),"")</f>
        <v/>
      </c>
      <c r="G88" s="36"/>
    </row>
    <row r="89" spans="1:7" ht="15" customHeight="1" x14ac:dyDescent="0.25">
      <c r="A89" s="23" t="str">
        <f>IF($B89="","",85)</f>
        <v/>
      </c>
      <c r="B89" s="32" t="str">
        <f>IFERROR(INDEX(ΡΑΝΤΕΒΟΥ!$C$3:$C$102,_xlfn.AGGREGATE(15,6,(ROW(ΡΑΝΤΕΒΟΥ!$C$3:$C$102)-ROW(ΡΑΝΤΕΒΟΥ!$C$3)+1)/((ΡΑΝΤΕΒΟΥ!$B$3:$B$102=$B$2)*(ΡΑΝΤΕΒΟΥ!$H$3:$H$102&lt;&gt;"Ακυρώθηκε")),85)),"")</f>
        <v/>
      </c>
      <c r="C89" s="33" t="str">
        <f>IFERROR(INDEX(ΡΑΝΤΕΒΟΥ!$D$3:$D$102,_xlfn.AGGREGATE(15,6,(ROW(ΡΑΝΤΕΒΟΥ!$C$3:$C$102)-ROW(ΡΑΝΤΕΒΟΥ!$C$3)+1)/((ΡΑΝΤΕΒΟΥ!$B$3:$B$102=$B$2)*(ΡΑΝΤΕΒΟΥ!$H$3:$H$102&lt;&gt;"Ακυρώθηκε")),85)),"")</f>
        <v/>
      </c>
      <c r="D89" s="32" t="str">
        <f>IFERROR(INDEX(ΡΑΝΤΕΒΟΥ!$E$3:$E$102,_xlfn.AGGREGATE(15,6,(ROW(ΡΑΝΤΕΒΟΥ!$C$3:$C$102)-ROW(ΡΑΝΤΕΒΟΥ!$C$3)+1)/((ΡΑΝΤΕΒΟΥ!$B$3:$B$102=$B$2)*(ΡΑΝΤΕΒΟΥ!$H$3:$H$102&lt;&gt;"Ακυρώθηκε")),85)),"")</f>
        <v/>
      </c>
      <c r="E89" s="34" t="str">
        <f>IFERROR(INDEX(ΡΑΝΤΕΒΟΥ!$F$3:$F$102,_xlfn.AGGREGATE(15,6,(ROW(ΡΑΝΤΕΒΟΥ!$C$3:$C$102)-ROW(ΡΑΝΤΕΒΟΥ!$C$3)+1)/((ΡΑΝΤΕΒΟΥ!$B$3:$B$102=$B$2)*(ΡΑΝΤΕΒΟΥ!$H$3:$H$102&lt;&gt;"Ακυρώθηκε")),85)),"")</f>
        <v/>
      </c>
      <c r="F89" s="35" t="str">
        <f>IFERROR(INDEX(ΡΑΝΤΕΒΟΥ!$H$3:$H$102,_xlfn.AGGREGATE(15,6,(ROW(ΡΑΝΤΕΒΟΥ!$C$3:$C$102)-ROW(ΡΑΝΤΕΒΟΥ!$C$3)+1)/((ΡΑΝΤΕΒΟΥ!$B$3:$B$102=$B$2)*(ΡΑΝΤΕΒΟΥ!$H$3:$H$102&lt;&gt;"Ακυρώθηκε")),85)),"")</f>
        <v/>
      </c>
      <c r="G89" s="36"/>
    </row>
    <row r="90" spans="1:7" ht="15" customHeight="1" x14ac:dyDescent="0.25">
      <c r="A90" s="23" t="str">
        <f>IF($B90="","",86)</f>
        <v/>
      </c>
      <c r="B90" s="32" t="str">
        <f>IFERROR(INDEX(ΡΑΝΤΕΒΟΥ!$C$3:$C$102,_xlfn.AGGREGATE(15,6,(ROW(ΡΑΝΤΕΒΟΥ!$C$3:$C$102)-ROW(ΡΑΝΤΕΒΟΥ!$C$3)+1)/((ΡΑΝΤΕΒΟΥ!$B$3:$B$102=$B$2)*(ΡΑΝΤΕΒΟΥ!$H$3:$H$102&lt;&gt;"Ακυρώθηκε")),86)),"")</f>
        <v/>
      </c>
      <c r="C90" s="33" t="str">
        <f>IFERROR(INDEX(ΡΑΝΤΕΒΟΥ!$D$3:$D$102,_xlfn.AGGREGATE(15,6,(ROW(ΡΑΝΤΕΒΟΥ!$C$3:$C$102)-ROW(ΡΑΝΤΕΒΟΥ!$C$3)+1)/((ΡΑΝΤΕΒΟΥ!$B$3:$B$102=$B$2)*(ΡΑΝΤΕΒΟΥ!$H$3:$H$102&lt;&gt;"Ακυρώθηκε")),86)),"")</f>
        <v/>
      </c>
      <c r="D90" s="32" t="str">
        <f>IFERROR(INDEX(ΡΑΝΤΕΒΟΥ!$E$3:$E$102,_xlfn.AGGREGATE(15,6,(ROW(ΡΑΝΤΕΒΟΥ!$C$3:$C$102)-ROW(ΡΑΝΤΕΒΟΥ!$C$3)+1)/((ΡΑΝΤΕΒΟΥ!$B$3:$B$102=$B$2)*(ΡΑΝΤΕΒΟΥ!$H$3:$H$102&lt;&gt;"Ακυρώθηκε")),86)),"")</f>
        <v/>
      </c>
      <c r="E90" s="34" t="str">
        <f>IFERROR(INDEX(ΡΑΝΤΕΒΟΥ!$F$3:$F$102,_xlfn.AGGREGATE(15,6,(ROW(ΡΑΝΤΕΒΟΥ!$C$3:$C$102)-ROW(ΡΑΝΤΕΒΟΥ!$C$3)+1)/((ΡΑΝΤΕΒΟΥ!$B$3:$B$102=$B$2)*(ΡΑΝΤΕΒΟΥ!$H$3:$H$102&lt;&gt;"Ακυρώθηκε")),86)),"")</f>
        <v/>
      </c>
      <c r="F90" s="35" t="str">
        <f>IFERROR(INDEX(ΡΑΝΤΕΒΟΥ!$H$3:$H$102,_xlfn.AGGREGATE(15,6,(ROW(ΡΑΝΤΕΒΟΥ!$C$3:$C$102)-ROW(ΡΑΝΤΕΒΟΥ!$C$3)+1)/((ΡΑΝΤΕΒΟΥ!$B$3:$B$102=$B$2)*(ΡΑΝΤΕΒΟΥ!$H$3:$H$102&lt;&gt;"Ακυρώθηκε")),86)),"")</f>
        <v/>
      </c>
      <c r="G90" s="36"/>
    </row>
    <row r="91" spans="1:7" ht="15" customHeight="1" x14ac:dyDescent="0.25">
      <c r="A91" s="23" t="str">
        <f>IF($B91="","",87)</f>
        <v/>
      </c>
      <c r="B91" s="32" t="str">
        <f>IFERROR(INDEX(ΡΑΝΤΕΒΟΥ!$C$3:$C$102,_xlfn.AGGREGATE(15,6,(ROW(ΡΑΝΤΕΒΟΥ!$C$3:$C$102)-ROW(ΡΑΝΤΕΒΟΥ!$C$3)+1)/((ΡΑΝΤΕΒΟΥ!$B$3:$B$102=$B$2)*(ΡΑΝΤΕΒΟΥ!$H$3:$H$102&lt;&gt;"Ακυρώθηκε")),87)),"")</f>
        <v/>
      </c>
      <c r="C91" s="33" t="str">
        <f>IFERROR(INDEX(ΡΑΝΤΕΒΟΥ!$D$3:$D$102,_xlfn.AGGREGATE(15,6,(ROW(ΡΑΝΤΕΒΟΥ!$C$3:$C$102)-ROW(ΡΑΝΤΕΒΟΥ!$C$3)+1)/((ΡΑΝΤΕΒΟΥ!$B$3:$B$102=$B$2)*(ΡΑΝΤΕΒΟΥ!$H$3:$H$102&lt;&gt;"Ακυρώθηκε")),87)),"")</f>
        <v/>
      </c>
      <c r="D91" s="32" t="str">
        <f>IFERROR(INDEX(ΡΑΝΤΕΒΟΥ!$E$3:$E$102,_xlfn.AGGREGATE(15,6,(ROW(ΡΑΝΤΕΒΟΥ!$C$3:$C$102)-ROW(ΡΑΝΤΕΒΟΥ!$C$3)+1)/((ΡΑΝΤΕΒΟΥ!$B$3:$B$102=$B$2)*(ΡΑΝΤΕΒΟΥ!$H$3:$H$102&lt;&gt;"Ακυρώθηκε")),87)),"")</f>
        <v/>
      </c>
      <c r="E91" s="34" t="str">
        <f>IFERROR(INDEX(ΡΑΝΤΕΒΟΥ!$F$3:$F$102,_xlfn.AGGREGATE(15,6,(ROW(ΡΑΝΤΕΒΟΥ!$C$3:$C$102)-ROW(ΡΑΝΤΕΒΟΥ!$C$3)+1)/((ΡΑΝΤΕΒΟΥ!$B$3:$B$102=$B$2)*(ΡΑΝΤΕΒΟΥ!$H$3:$H$102&lt;&gt;"Ακυρώθηκε")),87)),"")</f>
        <v/>
      </c>
      <c r="F91" s="35" t="str">
        <f>IFERROR(INDEX(ΡΑΝΤΕΒΟΥ!$H$3:$H$102,_xlfn.AGGREGATE(15,6,(ROW(ΡΑΝΤΕΒΟΥ!$C$3:$C$102)-ROW(ΡΑΝΤΕΒΟΥ!$C$3)+1)/((ΡΑΝΤΕΒΟΥ!$B$3:$B$102=$B$2)*(ΡΑΝΤΕΒΟΥ!$H$3:$H$102&lt;&gt;"Ακυρώθηκε")),87)),"")</f>
        <v/>
      </c>
      <c r="G91" s="36"/>
    </row>
    <row r="92" spans="1:7" ht="15" customHeight="1" x14ac:dyDescent="0.25">
      <c r="A92" s="23" t="str">
        <f>IF($B92="","",88)</f>
        <v/>
      </c>
      <c r="B92" s="32" t="str">
        <f>IFERROR(INDEX(ΡΑΝΤΕΒΟΥ!$C$3:$C$102,_xlfn.AGGREGATE(15,6,(ROW(ΡΑΝΤΕΒΟΥ!$C$3:$C$102)-ROW(ΡΑΝΤΕΒΟΥ!$C$3)+1)/((ΡΑΝΤΕΒΟΥ!$B$3:$B$102=$B$2)*(ΡΑΝΤΕΒΟΥ!$H$3:$H$102&lt;&gt;"Ακυρώθηκε")),88)),"")</f>
        <v/>
      </c>
      <c r="C92" s="33" t="str">
        <f>IFERROR(INDEX(ΡΑΝΤΕΒΟΥ!$D$3:$D$102,_xlfn.AGGREGATE(15,6,(ROW(ΡΑΝΤΕΒΟΥ!$C$3:$C$102)-ROW(ΡΑΝΤΕΒΟΥ!$C$3)+1)/((ΡΑΝΤΕΒΟΥ!$B$3:$B$102=$B$2)*(ΡΑΝΤΕΒΟΥ!$H$3:$H$102&lt;&gt;"Ακυρώθηκε")),88)),"")</f>
        <v/>
      </c>
      <c r="D92" s="32" t="str">
        <f>IFERROR(INDEX(ΡΑΝΤΕΒΟΥ!$E$3:$E$102,_xlfn.AGGREGATE(15,6,(ROW(ΡΑΝΤΕΒΟΥ!$C$3:$C$102)-ROW(ΡΑΝΤΕΒΟΥ!$C$3)+1)/((ΡΑΝΤΕΒΟΥ!$B$3:$B$102=$B$2)*(ΡΑΝΤΕΒΟΥ!$H$3:$H$102&lt;&gt;"Ακυρώθηκε")),88)),"")</f>
        <v/>
      </c>
      <c r="E92" s="34" t="str">
        <f>IFERROR(INDEX(ΡΑΝΤΕΒΟΥ!$F$3:$F$102,_xlfn.AGGREGATE(15,6,(ROW(ΡΑΝΤΕΒΟΥ!$C$3:$C$102)-ROW(ΡΑΝΤΕΒΟΥ!$C$3)+1)/((ΡΑΝΤΕΒΟΥ!$B$3:$B$102=$B$2)*(ΡΑΝΤΕΒΟΥ!$H$3:$H$102&lt;&gt;"Ακυρώθηκε")),88)),"")</f>
        <v/>
      </c>
      <c r="F92" s="35" t="str">
        <f>IFERROR(INDEX(ΡΑΝΤΕΒΟΥ!$H$3:$H$102,_xlfn.AGGREGATE(15,6,(ROW(ΡΑΝΤΕΒΟΥ!$C$3:$C$102)-ROW(ΡΑΝΤΕΒΟΥ!$C$3)+1)/((ΡΑΝΤΕΒΟΥ!$B$3:$B$102=$B$2)*(ΡΑΝΤΕΒΟΥ!$H$3:$H$102&lt;&gt;"Ακυρώθηκε")),88)),"")</f>
        <v/>
      </c>
      <c r="G92" s="36"/>
    </row>
    <row r="93" spans="1:7" ht="15" customHeight="1" x14ac:dyDescent="0.25">
      <c r="A93" s="23" t="str">
        <f>IF($B93="","",89)</f>
        <v/>
      </c>
      <c r="B93" s="32" t="str">
        <f>IFERROR(INDEX(ΡΑΝΤΕΒΟΥ!$C$3:$C$102,_xlfn.AGGREGATE(15,6,(ROW(ΡΑΝΤΕΒΟΥ!$C$3:$C$102)-ROW(ΡΑΝΤΕΒΟΥ!$C$3)+1)/((ΡΑΝΤΕΒΟΥ!$B$3:$B$102=$B$2)*(ΡΑΝΤΕΒΟΥ!$H$3:$H$102&lt;&gt;"Ακυρώθηκε")),89)),"")</f>
        <v/>
      </c>
      <c r="C93" s="33" t="str">
        <f>IFERROR(INDEX(ΡΑΝΤΕΒΟΥ!$D$3:$D$102,_xlfn.AGGREGATE(15,6,(ROW(ΡΑΝΤΕΒΟΥ!$C$3:$C$102)-ROW(ΡΑΝΤΕΒΟΥ!$C$3)+1)/((ΡΑΝΤΕΒΟΥ!$B$3:$B$102=$B$2)*(ΡΑΝΤΕΒΟΥ!$H$3:$H$102&lt;&gt;"Ακυρώθηκε")),89)),"")</f>
        <v/>
      </c>
      <c r="D93" s="32" t="str">
        <f>IFERROR(INDEX(ΡΑΝΤΕΒΟΥ!$E$3:$E$102,_xlfn.AGGREGATE(15,6,(ROW(ΡΑΝΤΕΒΟΥ!$C$3:$C$102)-ROW(ΡΑΝΤΕΒΟΥ!$C$3)+1)/((ΡΑΝΤΕΒΟΥ!$B$3:$B$102=$B$2)*(ΡΑΝΤΕΒΟΥ!$H$3:$H$102&lt;&gt;"Ακυρώθηκε")),89)),"")</f>
        <v/>
      </c>
      <c r="E93" s="34" t="str">
        <f>IFERROR(INDEX(ΡΑΝΤΕΒΟΥ!$F$3:$F$102,_xlfn.AGGREGATE(15,6,(ROW(ΡΑΝΤΕΒΟΥ!$C$3:$C$102)-ROW(ΡΑΝΤΕΒΟΥ!$C$3)+1)/((ΡΑΝΤΕΒΟΥ!$B$3:$B$102=$B$2)*(ΡΑΝΤΕΒΟΥ!$H$3:$H$102&lt;&gt;"Ακυρώθηκε")),89)),"")</f>
        <v/>
      </c>
      <c r="F93" s="35" t="str">
        <f>IFERROR(INDEX(ΡΑΝΤΕΒΟΥ!$H$3:$H$102,_xlfn.AGGREGATE(15,6,(ROW(ΡΑΝΤΕΒΟΥ!$C$3:$C$102)-ROW(ΡΑΝΤΕΒΟΥ!$C$3)+1)/((ΡΑΝΤΕΒΟΥ!$B$3:$B$102=$B$2)*(ΡΑΝΤΕΒΟΥ!$H$3:$H$102&lt;&gt;"Ακυρώθηκε")),89)),"")</f>
        <v/>
      </c>
      <c r="G93" s="36"/>
    </row>
    <row r="94" spans="1:7" ht="15" customHeight="1" x14ac:dyDescent="0.25">
      <c r="A94" s="23" t="str">
        <f>IF($B94="","",90)</f>
        <v/>
      </c>
      <c r="B94" s="32" t="str">
        <f>IFERROR(INDEX(ΡΑΝΤΕΒΟΥ!$C$3:$C$102,_xlfn.AGGREGATE(15,6,(ROW(ΡΑΝΤΕΒΟΥ!$C$3:$C$102)-ROW(ΡΑΝΤΕΒΟΥ!$C$3)+1)/((ΡΑΝΤΕΒΟΥ!$B$3:$B$102=$B$2)*(ΡΑΝΤΕΒΟΥ!$H$3:$H$102&lt;&gt;"Ακυρώθηκε")),90)),"")</f>
        <v/>
      </c>
      <c r="C94" s="33" t="str">
        <f>IFERROR(INDEX(ΡΑΝΤΕΒΟΥ!$D$3:$D$102,_xlfn.AGGREGATE(15,6,(ROW(ΡΑΝΤΕΒΟΥ!$C$3:$C$102)-ROW(ΡΑΝΤΕΒΟΥ!$C$3)+1)/((ΡΑΝΤΕΒΟΥ!$B$3:$B$102=$B$2)*(ΡΑΝΤΕΒΟΥ!$H$3:$H$102&lt;&gt;"Ακυρώθηκε")),90)),"")</f>
        <v/>
      </c>
      <c r="D94" s="32" t="str">
        <f>IFERROR(INDEX(ΡΑΝΤΕΒΟΥ!$E$3:$E$102,_xlfn.AGGREGATE(15,6,(ROW(ΡΑΝΤΕΒΟΥ!$C$3:$C$102)-ROW(ΡΑΝΤΕΒΟΥ!$C$3)+1)/((ΡΑΝΤΕΒΟΥ!$B$3:$B$102=$B$2)*(ΡΑΝΤΕΒΟΥ!$H$3:$H$102&lt;&gt;"Ακυρώθηκε")),90)),"")</f>
        <v/>
      </c>
      <c r="E94" s="34" t="str">
        <f>IFERROR(INDEX(ΡΑΝΤΕΒΟΥ!$F$3:$F$102,_xlfn.AGGREGATE(15,6,(ROW(ΡΑΝΤΕΒΟΥ!$C$3:$C$102)-ROW(ΡΑΝΤΕΒΟΥ!$C$3)+1)/((ΡΑΝΤΕΒΟΥ!$B$3:$B$102=$B$2)*(ΡΑΝΤΕΒΟΥ!$H$3:$H$102&lt;&gt;"Ακυρώθηκε")),90)),"")</f>
        <v/>
      </c>
      <c r="F94" s="35" t="str">
        <f>IFERROR(INDEX(ΡΑΝΤΕΒΟΥ!$H$3:$H$102,_xlfn.AGGREGATE(15,6,(ROW(ΡΑΝΤΕΒΟΥ!$C$3:$C$102)-ROW(ΡΑΝΤΕΒΟΥ!$C$3)+1)/((ΡΑΝΤΕΒΟΥ!$B$3:$B$102=$B$2)*(ΡΑΝΤΕΒΟΥ!$H$3:$H$102&lt;&gt;"Ακυρώθηκε")),90)),"")</f>
        <v/>
      </c>
      <c r="G94" s="36"/>
    </row>
    <row r="95" spans="1:7" ht="15" customHeight="1" x14ac:dyDescent="0.25">
      <c r="A95" s="23" t="str">
        <f>IF($B95="","",91)</f>
        <v/>
      </c>
      <c r="B95" s="32" t="str">
        <f>IFERROR(INDEX(ΡΑΝΤΕΒΟΥ!$C$3:$C$102,_xlfn.AGGREGATE(15,6,(ROW(ΡΑΝΤΕΒΟΥ!$C$3:$C$102)-ROW(ΡΑΝΤΕΒΟΥ!$C$3)+1)/((ΡΑΝΤΕΒΟΥ!$B$3:$B$102=$B$2)*(ΡΑΝΤΕΒΟΥ!$H$3:$H$102&lt;&gt;"Ακυρώθηκε")),91)),"")</f>
        <v/>
      </c>
      <c r="C95" s="33" t="str">
        <f>IFERROR(INDEX(ΡΑΝΤΕΒΟΥ!$D$3:$D$102,_xlfn.AGGREGATE(15,6,(ROW(ΡΑΝΤΕΒΟΥ!$C$3:$C$102)-ROW(ΡΑΝΤΕΒΟΥ!$C$3)+1)/((ΡΑΝΤΕΒΟΥ!$B$3:$B$102=$B$2)*(ΡΑΝΤΕΒΟΥ!$H$3:$H$102&lt;&gt;"Ακυρώθηκε")),91)),"")</f>
        <v/>
      </c>
      <c r="D95" s="32" t="str">
        <f>IFERROR(INDEX(ΡΑΝΤΕΒΟΥ!$E$3:$E$102,_xlfn.AGGREGATE(15,6,(ROW(ΡΑΝΤΕΒΟΥ!$C$3:$C$102)-ROW(ΡΑΝΤΕΒΟΥ!$C$3)+1)/((ΡΑΝΤΕΒΟΥ!$B$3:$B$102=$B$2)*(ΡΑΝΤΕΒΟΥ!$H$3:$H$102&lt;&gt;"Ακυρώθηκε")),91)),"")</f>
        <v/>
      </c>
      <c r="E95" s="34" t="str">
        <f>IFERROR(INDEX(ΡΑΝΤΕΒΟΥ!$F$3:$F$102,_xlfn.AGGREGATE(15,6,(ROW(ΡΑΝΤΕΒΟΥ!$C$3:$C$102)-ROW(ΡΑΝΤΕΒΟΥ!$C$3)+1)/((ΡΑΝΤΕΒΟΥ!$B$3:$B$102=$B$2)*(ΡΑΝΤΕΒΟΥ!$H$3:$H$102&lt;&gt;"Ακυρώθηκε")),91)),"")</f>
        <v/>
      </c>
      <c r="F95" s="35" t="str">
        <f>IFERROR(INDEX(ΡΑΝΤΕΒΟΥ!$H$3:$H$102,_xlfn.AGGREGATE(15,6,(ROW(ΡΑΝΤΕΒΟΥ!$C$3:$C$102)-ROW(ΡΑΝΤΕΒΟΥ!$C$3)+1)/((ΡΑΝΤΕΒΟΥ!$B$3:$B$102=$B$2)*(ΡΑΝΤΕΒΟΥ!$H$3:$H$102&lt;&gt;"Ακυρώθηκε")),91)),"")</f>
        <v/>
      </c>
      <c r="G95" s="36"/>
    </row>
    <row r="96" spans="1:7" ht="15" customHeight="1" x14ac:dyDescent="0.25">
      <c r="A96" s="23" t="str">
        <f>IF($B96="","",92)</f>
        <v/>
      </c>
      <c r="B96" s="32" t="str">
        <f>IFERROR(INDEX(ΡΑΝΤΕΒΟΥ!$C$3:$C$102,_xlfn.AGGREGATE(15,6,(ROW(ΡΑΝΤΕΒΟΥ!$C$3:$C$102)-ROW(ΡΑΝΤΕΒΟΥ!$C$3)+1)/((ΡΑΝΤΕΒΟΥ!$B$3:$B$102=$B$2)*(ΡΑΝΤΕΒΟΥ!$H$3:$H$102&lt;&gt;"Ακυρώθηκε")),92)),"")</f>
        <v/>
      </c>
      <c r="C96" s="33" t="str">
        <f>IFERROR(INDEX(ΡΑΝΤΕΒΟΥ!$D$3:$D$102,_xlfn.AGGREGATE(15,6,(ROW(ΡΑΝΤΕΒΟΥ!$C$3:$C$102)-ROW(ΡΑΝΤΕΒΟΥ!$C$3)+1)/((ΡΑΝΤΕΒΟΥ!$B$3:$B$102=$B$2)*(ΡΑΝΤΕΒΟΥ!$H$3:$H$102&lt;&gt;"Ακυρώθηκε")),92)),"")</f>
        <v/>
      </c>
      <c r="D96" s="32" t="str">
        <f>IFERROR(INDEX(ΡΑΝΤΕΒΟΥ!$E$3:$E$102,_xlfn.AGGREGATE(15,6,(ROW(ΡΑΝΤΕΒΟΥ!$C$3:$C$102)-ROW(ΡΑΝΤΕΒΟΥ!$C$3)+1)/((ΡΑΝΤΕΒΟΥ!$B$3:$B$102=$B$2)*(ΡΑΝΤΕΒΟΥ!$H$3:$H$102&lt;&gt;"Ακυρώθηκε")),92)),"")</f>
        <v/>
      </c>
      <c r="E96" s="34" t="str">
        <f>IFERROR(INDEX(ΡΑΝΤΕΒΟΥ!$F$3:$F$102,_xlfn.AGGREGATE(15,6,(ROW(ΡΑΝΤΕΒΟΥ!$C$3:$C$102)-ROW(ΡΑΝΤΕΒΟΥ!$C$3)+1)/((ΡΑΝΤΕΒΟΥ!$B$3:$B$102=$B$2)*(ΡΑΝΤΕΒΟΥ!$H$3:$H$102&lt;&gt;"Ακυρώθηκε")),92)),"")</f>
        <v/>
      </c>
      <c r="F96" s="35" t="str">
        <f>IFERROR(INDEX(ΡΑΝΤΕΒΟΥ!$H$3:$H$102,_xlfn.AGGREGATE(15,6,(ROW(ΡΑΝΤΕΒΟΥ!$C$3:$C$102)-ROW(ΡΑΝΤΕΒΟΥ!$C$3)+1)/((ΡΑΝΤΕΒΟΥ!$B$3:$B$102=$B$2)*(ΡΑΝΤΕΒΟΥ!$H$3:$H$102&lt;&gt;"Ακυρώθηκε")),92)),"")</f>
        <v/>
      </c>
      <c r="G96" s="36"/>
    </row>
    <row r="97" spans="1:7" ht="15" customHeight="1" x14ac:dyDescent="0.25">
      <c r="A97" s="23" t="str">
        <f>IF($B97="","",93)</f>
        <v/>
      </c>
      <c r="B97" s="32" t="str">
        <f>IFERROR(INDEX(ΡΑΝΤΕΒΟΥ!$C$3:$C$102,_xlfn.AGGREGATE(15,6,(ROW(ΡΑΝΤΕΒΟΥ!$C$3:$C$102)-ROW(ΡΑΝΤΕΒΟΥ!$C$3)+1)/((ΡΑΝΤΕΒΟΥ!$B$3:$B$102=$B$2)*(ΡΑΝΤΕΒΟΥ!$H$3:$H$102&lt;&gt;"Ακυρώθηκε")),93)),"")</f>
        <v/>
      </c>
      <c r="C97" s="33" t="str">
        <f>IFERROR(INDEX(ΡΑΝΤΕΒΟΥ!$D$3:$D$102,_xlfn.AGGREGATE(15,6,(ROW(ΡΑΝΤΕΒΟΥ!$C$3:$C$102)-ROW(ΡΑΝΤΕΒΟΥ!$C$3)+1)/((ΡΑΝΤΕΒΟΥ!$B$3:$B$102=$B$2)*(ΡΑΝΤΕΒΟΥ!$H$3:$H$102&lt;&gt;"Ακυρώθηκε")),93)),"")</f>
        <v/>
      </c>
      <c r="D97" s="32" t="str">
        <f>IFERROR(INDEX(ΡΑΝΤΕΒΟΥ!$E$3:$E$102,_xlfn.AGGREGATE(15,6,(ROW(ΡΑΝΤΕΒΟΥ!$C$3:$C$102)-ROW(ΡΑΝΤΕΒΟΥ!$C$3)+1)/((ΡΑΝΤΕΒΟΥ!$B$3:$B$102=$B$2)*(ΡΑΝΤΕΒΟΥ!$H$3:$H$102&lt;&gt;"Ακυρώθηκε")),93)),"")</f>
        <v/>
      </c>
      <c r="E97" s="34" t="str">
        <f>IFERROR(INDEX(ΡΑΝΤΕΒΟΥ!$F$3:$F$102,_xlfn.AGGREGATE(15,6,(ROW(ΡΑΝΤΕΒΟΥ!$C$3:$C$102)-ROW(ΡΑΝΤΕΒΟΥ!$C$3)+1)/((ΡΑΝΤΕΒΟΥ!$B$3:$B$102=$B$2)*(ΡΑΝΤΕΒΟΥ!$H$3:$H$102&lt;&gt;"Ακυρώθηκε")),93)),"")</f>
        <v/>
      </c>
      <c r="F97" s="35" t="str">
        <f>IFERROR(INDEX(ΡΑΝΤΕΒΟΥ!$H$3:$H$102,_xlfn.AGGREGATE(15,6,(ROW(ΡΑΝΤΕΒΟΥ!$C$3:$C$102)-ROW(ΡΑΝΤΕΒΟΥ!$C$3)+1)/((ΡΑΝΤΕΒΟΥ!$B$3:$B$102=$B$2)*(ΡΑΝΤΕΒΟΥ!$H$3:$H$102&lt;&gt;"Ακυρώθηκε")),93)),"")</f>
        <v/>
      </c>
      <c r="G97" s="36"/>
    </row>
    <row r="98" spans="1:7" ht="15" customHeight="1" x14ac:dyDescent="0.25">
      <c r="A98" s="23" t="str">
        <f>IF($B98="","",94)</f>
        <v/>
      </c>
      <c r="B98" s="32" t="str">
        <f>IFERROR(INDEX(ΡΑΝΤΕΒΟΥ!$C$3:$C$102,_xlfn.AGGREGATE(15,6,(ROW(ΡΑΝΤΕΒΟΥ!$C$3:$C$102)-ROW(ΡΑΝΤΕΒΟΥ!$C$3)+1)/((ΡΑΝΤΕΒΟΥ!$B$3:$B$102=$B$2)*(ΡΑΝΤΕΒΟΥ!$H$3:$H$102&lt;&gt;"Ακυρώθηκε")),94)),"")</f>
        <v/>
      </c>
      <c r="C98" s="33" t="str">
        <f>IFERROR(INDEX(ΡΑΝΤΕΒΟΥ!$D$3:$D$102,_xlfn.AGGREGATE(15,6,(ROW(ΡΑΝΤΕΒΟΥ!$C$3:$C$102)-ROW(ΡΑΝΤΕΒΟΥ!$C$3)+1)/((ΡΑΝΤΕΒΟΥ!$B$3:$B$102=$B$2)*(ΡΑΝΤΕΒΟΥ!$H$3:$H$102&lt;&gt;"Ακυρώθηκε")),94)),"")</f>
        <v/>
      </c>
      <c r="D98" s="32" t="str">
        <f>IFERROR(INDEX(ΡΑΝΤΕΒΟΥ!$E$3:$E$102,_xlfn.AGGREGATE(15,6,(ROW(ΡΑΝΤΕΒΟΥ!$C$3:$C$102)-ROW(ΡΑΝΤΕΒΟΥ!$C$3)+1)/((ΡΑΝΤΕΒΟΥ!$B$3:$B$102=$B$2)*(ΡΑΝΤΕΒΟΥ!$H$3:$H$102&lt;&gt;"Ακυρώθηκε")),94)),"")</f>
        <v/>
      </c>
      <c r="E98" s="34" t="str">
        <f>IFERROR(INDEX(ΡΑΝΤΕΒΟΥ!$F$3:$F$102,_xlfn.AGGREGATE(15,6,(ROW(ΡΑΝΤΕΒΟΥ!$C$3:$C$102)-ROW(ΡΑΝΤΕΒΟΥ!$C$3)+1)/((ΡΑΝΤΕΒΟΥ!$B$3:$B$102=$B$2)*(ΡΑΝΤΕΒΟΥ!$H$3:$H$102&lt;&gt;"Ακυρώθηκε")),94)),"")</f>
        <v/>
      </c>
      <c r="F98" s="35" t="str">
        <f>IFERROR(INDEX(ΡΑΝΤΕΒΟΥ!$H$3:$H$102,_xlfn.AGGREGATE(15,6,(ROW(ΡΑΝΤΕΒΟΥ!$C$3:$C$102)-ROW(ΡΑΝΤΕΒΟΥ!$C$3)+1)/((ΡΑΝΤΕΒΟΥ!$B$3:$B$102=$B$2)*(ΡΑΝΤΕΒΟΥ!$H$3:$H$102&lt;&gt;"Ακυρώθηκε")),94)),"")</f>
        <v/>
      </c>
      <c r="G98" s="36"/>
    </row>
    <row r="99" spans="1:7" ht="15" customHeight="1" x14ac:dyDescent="0.25">
      <c r="A99" s="23" t="str">
        <f>IF($B99="","",95)</f>
        <v/>
      </c>
      <c r="B99" s="32" t="str">
        <f>IFERROR(INDEX(ΡΑΝΤΕΒΟΥ!$C$3:$C$102,_xlfn.AGGREGATE(15,6,(ROW(ΡΑΝΤΕΒΟΥ!$C$3:$C$102)-ROW(ΡΑΝΤΕΒΟΥ!$C$3)+1)/((ΡΑΝΤΕΒΟΥ!$B$3:$B$102=$B$2)*(ΡΑΝΤΕΒΟΥ!$H$3:$H$102&lt;&gt;"Ακυρώθηκε")),95)),"")</f>
        <v/>
      </c>
      <c r="C99" s="33" t="str">
        <f>IFERROR(INDEX(ΡΑΝΤΕΒΟΥ!$D$3:$D$102,_xlfn.AGGREGATE(15,6,(ROW(ΡΑΝΤΕΒΟΥ!$C$3:$C$102)-ROW(ΡΑΝΤΕΒΟΥ!$C$3)+1)/((ΡΑΝΤΕΒΟΥ!$B$3:$B$102=$B$2)*(ΡΑΝΤΕΒΟΥ!$H$3:$H$102&lt;&gt;"Ακυρώθηκε")),95)),"")</f>
        <v/>
      </c>
      <c r="D99" s="32" t="str">
        <f>IFERROR(INDEX(ΡΑΝΤΕΒΟΥ!$E$3:$E$102,_xlfn.AGGREGATE(15,6,(ROW(ΡΑΝΤΕΒΟΥ!$C$3:$C$102)-ROW(ΡΑΝΤΕΒΟΥ!$C$3)+1)/((ΡΑΝΤΕΒΟΥ!$B$3:$B$102=$B$2)*(ΡΑΝΤΕΒΟΥ!$H$3:$H$102&lt;&gt;"Ακυρώθηκε")),95)),"")</f>
        <v/>
      </c>
      <c r="E99" s="34" t="str">
        <f>IFERROR(INDEX(ΡΑΝΤΕΒΟΥ!$F$3:$F$102,_xlfn.AGGREGATE(15,6,(ROW(ΡΑΝΤΕΒΟΥ!$C$3:$C$102)-ROW(ΡΑΝΤΕΒΟΥ!$C$3)+1)/((ΡΑΝΤΕΒΟΥ!$B$3:$B$102=$B$2)*(ΡΑΝΤΕΒΟΥ!$H$3:$H$102&lt;&gt;"Ακυρώθηκε")),95)),"")</f>
        <v/>
      </c>
      <c r="F99" s="35" t="str">
        <f>IFERROR(INDEX(ΡΑΝΤΕΒΟΥ!$H$3:$H$102,_xlfn.AGGREGATE(15,6,(ROW(ΡΑΝΤΕΒΟΥ!$C$3:$C$102)-ROW(ΡΑΝΤΕΒΟΥ!$C$3)+1)/((ΡΑΝΤΕΒΟΥ!$B$3:$B$102=$B$2)*(ΡΑΝΤΕΒΟΥ!$H$3:$H$102&lt;&gt;"Ακυρώθηκε")),95)),"")</f>
        <v/>
      </c>
      <c r="G99" s="36"/>
    </row>
    <row r="100" spans="1:7" ht="15" customHeight="1" x14ac:dyDescent="0.25">
      <c r="A100" s="23" t="str">
        <f>IF($B100="","",96)</f>
        <v/>
      </c>
      <c r="B100" s="32" t="str">
        <f>IFERROR(INDEX(ΡΑΝΤΕΒΟΥ!$C$3:$C$102,_xlfn.AGGREGATE(15,6,(ROW(ΡΑΝΤΕΒΟΥ!$C$3:$C$102)-ROW(ΡΑΝΤΕΒΟΥ!$C$3)+1)/((ΡΑΝΤΕΒΟΥ!$B$3:$B$102=$B$2)*(ΡΑΝΤΕΒΟΥ!$H$3:$H$102&lt;&gt;"Ακυρώθηκε")),96)),"")</f>
        <v/>
      </c>
      <c r="C100" s="33" t="str">
        <f>IFERROR(INDEX(ΡΑΝΤΕΒΟΥ!$D$3:$D$102,_xlfn.AGGREGATE(15,6,(ROW(ΡΑΝΤΕΒΟΥ!$C$3:$C$102)-ROW(ΡΑΝΤΕΒΟΥ!$C$3)+1)/((ΡΑΝΤΕΒΟΥ!$B$3:$B$102=$B$2)*(ΡΑΝΤΕΒΟΥ!$H$3:$H$102&lt;&gt;"Ακυρώθηκε")),96)),"")</f>
        <v/>
      </c>
      <c r="D100" s="32" t="str">
        <f>IFERROR(INDEX(ΡΑΝΤΕΒΟΥ!$E$3:$E$102,_xlfn.AGGREGATE(15,6,(ROW(ΡΑΝΤΕΒΟΥ!$C$3:$C$102)-ROW(ΡΑΝΤΕΒΟΥ!$C$3)+1)/((ΡΑΝΤΕΒΟΥ!$B$3:$B$102=$B$2)*(ΡΑΝΤΕΒΟΥ!$H$3:$H$102&lt;&gt;"Ακυρώθηκε")),96)),"")</f>
        <v/>
      </c>
      <c r="E100" s="34" t="str">
        <f>IFERROR(INDEX(ΡΑΝΤΕΒΟΥ!$F$3:$F$102,_xlfn.AGGREGATE(15,6,(ROW(ΡΑΝΤΕΒΟΥ!$C$3:$C$102)-ROW(ΡΑΝΤΕΒΟΥ!$C$3)+1)/((ΡΑΝΤΕΒΟΥ!$B$3:$B$102=$B$2)*(ΡΑΝΤΕΒΟΥ!$H$3:$H$102&lt;&gt;"Ακυρώθηκε")),96)),"")</f>
        <v/>
      </c>
      <c r="F100" s="35" t="str">
        <f>IFERROR(INDEX(ΡΑΝΤΕΒΟΥ!$H$3:$H$102,_xlfn.AGGREGATE(15,6,(ROW(ΡΑΝΤΕΒΟΥ!$C$3:$C$102)-ROW(ΡΑΝΤΕΒΟΥ!$C$3)+1)/((ΡΑΝΤΕΒΟΥ!$B$3:$B$102=$B$2)*(ΡΑΝΤΕΒΟΥ!$H$3:$H$102&lt;&gt;"Ακυρώθηκε")),96)),"")</f>
        <v/>
      </c>
      <c r="G100" s="36"/>
    </row>
    <row r="101" spans="1:7" ht="15" customHeight="1" x14ac:dyDescent="0.25">
      <c r="A101" s="23" t="str">
        <f>IF($B101="","",97)</f>
        <v/>
      </c>
      <c r="B101" s="32" t="str">
        <f>IFERROR(INDEX(ΡΑΝΤΕΒΟΥ!$C$3:$C$102,_xlfn.AGGREGATE(15,6,(ROW(ΡΑΝΤΕΒΟΥ!$C$3:$C$102)-ROW(ΡΑΝΤΕΒΟΥ!$C$3)+1)/((ΡΑΝΤΕΒΟΥ!$B$3:$B$102=$B$2)*(ΡΑΝΤΕΒΟΥ!$H$3:$H$102&lt;&gt;"Ακυρώθηκε")),97)),"")</f>
        <v/>
      </c>
      <c r="C101" s="33" t="str">
        <f>IFERROR(INDEX(ΡΑΝΤΕΒΟΥ!$D$3:$D$102,_xlfn.AGGREGATE(15,6,(ROW(ΡΑΝΤΕΒΟΥ!$C$3:$C$102)-ROW(ΡΑΝΤΕΒΟΥ!$C$3)+1)/((ΡΑΝΤΕΒΟΥ!$B$3:$B$102=$B$2)*(ΡΑΝΤΕΒΟΥ!$H$3:$H$102&lt;&gt;"Ακυρώθηκε")),97)),"")</f>
        <v/>
      </c>
      <c r="D101" s="32" t="str">
        <f>IFERROR(INDEX(ΡΑΝΤΕΒΟΥ!$E$3:$E$102,_xlfn.AGGREGATE(15,6,(ROW(ΡΑΝΤΕΒΟΥ!$C$3:$C$102)-ROW(ΡΑΝΤΕΒΟΥ!$C$3)+1)/((ΡΑΝΤΕΒΟΥ!$B$3:$B$102=$B$2)*(ΡΑΝΤΕΒΟΥ!$H$3:$H$102&lt;&gt;"Ακυρώθηκε")),97)),"")</f>
        <v/>
      </c>
      <c r="E101" s="34" t="str">
        <f>IFERROR(INDEX(ΡΑΝΤΕΒΟΥ!$F$3:$F$102,_xlfn.AGGREGATE(15,6,(ROW(ΡΑΝΤΕΒΟΥ!$C$3:$C$102)-ROW(ΡΑΝΤΕΒΟΥ!$C$3)+1)/((ΡΑΝΤΕΒΟΥ!$B$3:$B$102=$B$2)*(ΡΑΝΤΕΒΟΥ!$H$3:$H$102&lt;&gt;"Ακυρώθηκε")),97)),"")</f>
        <v/>
      </c>
      <c r="F101" s="35" t="str">
        <f>IFERROR(INDEX(ΡΑΝΤΕΒΟΥ!$H$3:$H$102,_xlfn.AGGREGATE(15,6,(ROW(ΡΑΝΤΕΒΟΥ!$C$3:$C$102)-ROW(ΡΑΝΤΕΒΟΥ!$C$3)+1)/((ΡΑΝΤΕΒΟΥ!$B$3:$B$102=$B$2)*(ΡΑΝΤΕΒΟΥ!$H$3:$H$102&lt;&gt;"Ακυρώθηκε")),97)),"")</f>
        <v/>
      </c>
      <c r="G101" s="36"/>
    </row>
    <row r="102" spans="1:7" ht="15" customHeight="1" x14ac:dyDescent="0.25">
      <c r="A102" s="23" t="str">
        <f>IF($B102="","",98)</f>
        <v/>
      </c>
      <c r="B102" s="32" t="str">
        <f>IFERROR(INDEX(ΡΑΝΤΕΒΟΥ!$C$3:$C$102,_xlfn.AGGREGATE(15,6,(ROW(ΡΑΝΤΕΒΟΥ!$C$3:$C$102)-ROW(ΡΑΝΤΕΒΟΥ!$C$3)+1)/((ΡΑΝΤΕΒΟΥ!$B$3:$B$102=$B$2)*(ΡΑΝΤΕΒΟΥ!$H$3:$H$102&lt;&gt;"Ακυρώθηκε")),98)),"")</f>
        <v/>
      </c>
      <c r="C102" s="33" t="str">
        <f>IFERROR(INDEX(ΡΑΝΤΕΒΟΥ!$D$3:$D$102,_xlfn.AGGREGATE(15,6,(ROW(ΡΑΝΤΕΒΟΥ!$C$3:$C$102)-ROW(ΡΑΝΤΕΒΟΥ!$C$3)+1)/((ΡΑΝΤΕΒΟΥ!$B$3:$B$102=$B$2)*(ΡΑΝΤΕΒΟΥ!$H$3:$H$102&lt;&gt;"Ακυρώθηκε")),98)),"")</f>
        <v/>
      </c>
      <c r="D102" s="32" t="str">
        <f>IFERROR(INDEX(ΡΑΝΤΕΒΟΥ!$E$3:$E$102,_xlfn.AGGREGATE(15,6,(ROW(ΡΑΝΤΕΒΟΥ!$C$3:$C$102)-ROW(ΡΑΝΤΕΒΟΥ!$C$3)+1)/((ΡΑΝΤΕΒΟΥ!$B$3:$B$102=$B$2)*(ΡΑΝΤΕΒΟΥ!$H$3:$H$102&lt;&gt;"Ακυρώθηκε")),98)),"")</f>
        <v/>
      </c>
      <c r="E102" s="34" t="str">
        <f>IFERROR(INDEX(ΡΑΝΤΕΒΟΥ!$F$3:$F$102,_xlfn.AGGREGATE(15,6,(ROW(ΡΑΝΤΕΒΟΥ!$C$3:$C$102)-ROW(ΡΑΝΤΕΒΟΥ!$C$3)+1)/((ΡΑΝΤΕΒΟΥ!$B$3:$B$102=$B$2)*(ΡΑΝΤΕΒΟΥ!$H$3:$H$102&lt;&gt;"Ακυρώθηκε")),98)),"")</f>
        <v/>
      </c>
      <c r="F102" s="35" t="str">
        <f>IFERROR(INDEX(ΡΑΝΤΕΒΟΥ!$H$3:$H$102,_xlfn.AGGREGATE(15,6,(ROW(ΡΑΝΤΕΒΟΥ!$C$3:$C$102)-ROW(ΡΑΝΤΕΒΟΥ!$C$3)+1)/((ΡΑΝΤΕΒΟΥ!$B$3:$B$102=$B$2)*(ΡΑΝΤΕΒΟΥ!$H$3:$H$102&lt;&gt;"Ακυρώθηκε")),98)),"")</f>
        <v/>
      </c>
      <c r="G102" s="36"/>
    </row>
    <row r="103" spans="1:7" ht="15" customHeight="1" x14ac:dyDescent="0.25">
      <c r="A103" s="23" t="str">
        <f>IF($B103="","",99)</f>
        <v/>
      </c>
      <c r="B103" s="32" t="str">
        <f>IFERROR(INDEX(ΡΑΝΤΕΒΟΥ!$C$3:$C$102,_xlfn.AGGREGATE(15,6,(ROW(ΡΑΝΤΕΒΟΥ!$C$3:$C$102)-ROW(ΡΑΝΤΕΒΟΥ!$C$3)+1)/((ΡΑΝΤΕΒΟΥ!$B$3:$B$102=$B$2)*(ΡΑΝΤΕΒΟΥ!$H$3:$H$102&lt;&gt;"Ακυρώθηκε")),99)),"")</f>
        <v/>
      </c>
      <c r="C103" s="33" t="str">
        <f>IFERROR(INDEX(ΡΑΝΤΕΒΟΥ!$D$3:$D$102,_xlfn.AGGREGATE(15,6,(ROW(ΡΑΝΤΕΒΟΥ!$C$3:$C$102)-ROW(ΡΑΝΤΕΒΟΥ!$C$3)+1)/((ΡΑΝΤΕΒΟΥ!$B$3:$B$102=$B$2)*(ΡΑΝΤΕΒΟΥ!$H$3:$H$102&lt;&gt;"Ακυρώθηκε")),99)),"")</f>
        <v/>
      </c>
      <c r="D103" s="32" t="str">
        <f>IFERROR(INDEX(ΡΑΝΤΕΒΟΥ!$E$3:$E$102,_xlfn.AGGREGATE(15,6,(ROW(ΡΑΝΤΕΒΟΥ!$C$3:$C$102)-ROW(ΡΑΝΤΕΒΟΥ!$C$3)+1)/((ΡΑΝΤΕΒΟΥ!$B$3:$B$102=$B$2)*(ΡΑΝΤΕΒΟΥ!$H$3:$H$102&lt;&gt;"Ακυρώθηκε")),99)),"")</f>
        <v/>
      </c>
      <c r="E103" s="34" t="str">
        <f>IFERROR(INDEX(ΡΑΝΤΕΒΟΥ!$F$3:$F$102,_xlfn.AGGREGATE(15,6,(ROW(ΡΑΝΤΕΒΟΥ!$C$3:$C$102)-ROW(ΡΑΝΤΕΒΟΥ!$C$3)+1)/((ΡΑΝΤΕΒΟΥ!$B$3:$B$102=$B$2)*(ΡΑΝΤΕΒΟΥ!$H$3:$H$102&lt;&gt;"Ακυρώθηκε")),99)),"")</f>
        <v/>
      </c>
      <c r="F103" s="35" t="str">
        <f>IFERROR(INDEX(ΡΑΝΤΕΒΟΥ!$H$3:$H$102,_xlfn.AGGREGATE(15,6,(ROW(ΡΑΝΤΕΒΟΥ!$C$3:$C$102)-ROW(ΡΑΝΤΕΒΟΥ!$C$3)+1)/((ΡΑΝΤΕΒΟΥ!$B$3:$B$102=$B$2)*(ΡΑΝΤΕΒΟΥ!$H$3:$H$102&lt;&gt;"Ακυρώθηκε")),99)),"")</f>
        <v/>
      </c>
      <c r="G103" s="36"/>
    </row>
    <row r="104" spans="1:7" ht="15" customHeight="1" x14ac:dyDescent="0.25">
      <c r="A104" s="23" t="str">
        <f>IF($B104="","",100)</f>
        <v/>
      </c>
      <c r="B104" s="32" t="str">
        <f>IFERROR(INDEX(ΡΑΝΤΕΒΟΥ!$C$3:$C$102,_xlfn.AGGREGATE(15,6,(ROW(ΡΑΝΤΕΒΟΥ!$C$3:$C$102)-ROW(ΡΑΝΤΕΒΟΥ!$C$3)+1)/((ΡΑΝΤΕΒΟΥ!$B$3:$B$102=$B$2)*(ΡΑΝΤΕΒΟΥ!$H$3:$H$102&lt;&gt;"Ακυρώθηκε")),100)),"")</f>
        <v/>
      </c>
      <c r="C104" s="33" t="str">
        <f>IFERROR(INDEX(ΡΑΝΤΕΒΟΥ!$D$3:$D$102,_xlfn.AGGREGATE(15,6,(ROW(ΡΑΝΤΕΒΟΥ!$C$3:$C$102)-ROW(ΡΑΝΤΕΒΟΥ!$C$3)+1)/((ΡΑΝΤΕΒΟΥ!$B$3:$B$102=$B$2)*(ΡΑΝΤΕΒΟΥ!$H$3:$H$102&lt;&gt;"Ακυρώθηκε")),100)),"")</f>
        <v/>
      </c>
      <c r="D104" s="32" t="str">
        <f>IFERROR(INDEX(ΡΑΝΤΕΒΟΥ!$E$3:$E$102,_xlfn.AGGREGATE(15,6,(ROW(ΡΑΝΤΕΒΟΥ!$C$3:$C$102)-ROW(ΡΑΝΤΕΒΟΥ!$C$3)+1)/((ΡΑΝΤΕΒΟΥ!$B$3:$B$102=$B$2)*(ΡΑΝΤΕΒΟΥ!$H$3:$H$102&lt;&gt;"Ακυρώθηκε")),100)),"")</f>
        <v/>
      </c>
      <c r="E104" s="34" t="str">
        <f>IFERROR(INDEX(ΡΑΝΤΕΒΟΥ!$F$3:$F$102,_xlfn.AGGREGATE(15,6,(ROW(ΡΑΝΤΕΒΟΥ!$C$3:$C$102)-ROW(ΡΑΝΤΕΒΟΥ!$C$3)+1)/((ΡΑΝΤΕΒΟΥ!$B$3:$B$102=$B$2)*(ΡΑΝΤΕΒΟΥ!$H$3:$H$102&lt;&gt;"Ακυρώθηκε")),100)),"")</f>
        <v/>
      </c>
      <c r="F104" s="35" t="str">
        <f>IFERROR(INDEX(ΡΑΝΤΕΒΟΥ!$H$3:$H$102,_xlfn.AGGREGATE(15,6,(ROW(ΡΑΝΤΕΒΟΥ!$C$3:$C$102)-ROW(ΡΑΝΤΕΒΟΥ!$C$3)+1)/((ΡΑΝΤΕΒΟΥ!$B$3:$B$102=$B$2)*(ΡΑΝΤΕΒΟΥ!$H$3:$H$102&lt;&gt;"Ακυρώθηκε")),100)),"")</f>
        <v/>
      </c>
      <c r="G104" s="36"/>
    </row>
    <row r="106" spans="1:7" ht="15" customHeight="1" x14ac:dyDescent="0.25">
      <c r="A106" s="12" t="s">
        <v>42</v>
      </c>
      <c r="B106" s="12"/>
      <c r="C106" s="12"/>
      <c r="D106" s="37">
        <f>COUNTIFS(ΡΑΝΤΕΒΟΥ!$B$3:$B$102,$B$2,ΡΑΝΤΕΒΟΥ!$H$3:$H$102,"&lt;&gt;Ακυρώθηκε")</f>
        <v>3</v>
      </c>
    </row>
    <row r="107" spans="1:7" ht="15" customHeight="1" x14ac:dyDescent="0.25">
      <c r="A107" s="12" t="s">
        <v>43</v>
      </c>
      <c r="B107" s="12"/>
      <c r="C107" s="12"/>
      <c r="D107" s="38">
        <f>SUMIFS(ΡΑΝΤΕΒΟΥ!$F$3:$F$102,ΡΑΝΤΕΒΟΥ!$B$3:$B$102,$B$2,ΡΑΝΤΕΒΟΥ!$H$3:$H$102,"&lt;&gt;Ακυρώθηκε")</f>
        <v>4000</v>
      </c>
    </row>
  </sheetData>
  <sheetProtection formatCells="0" formatColumns="0" formatRows="0"/>
  <mergeCells count="3">
    <mergeCell ref="A1:G1"/>
    <mergeCell ref="A106:C106"/>
    <mergeCell ref="A107:C107"/>
  </mergeCells>
  <conditionalFormatting sqref="F5:F104">
    <cfRule type="cellIs" dxfId="5" priority="2" operator="equal">
      <formula>"Σε αναμονή"</formula>
    </cfRule>
    <cfRule type="cellIs" dxfId="4" priority="3" operator="equal">
      <formula>"Έφτασε"</formula>
    </cfRule>
    <cfRule type="cellIs" dxfId="3" priority="4" operator="equal">
      <formula>"Σε επεξεργασία"</formula>
    </cfRule>
    <cfRule type="cellIs" dxfId="2" priority="5" operator="equal">
      <formula>"Ολοκληρώθηκε"</formula>
    </cfRule>
    <cfRule type="cellIs" dxfId="1" priority="6" operator="equal">
      <formula>"Ακυρώθηκε"</formula>
    </cfRule>
    <cfRule type="cellIs" dxfId="0" priority="7" operator="equal">
      <formula>"ΠΡΟΣΟΧΗ: ΥΠΕΡΒΑΣΗ ΧΩΡΗΤΙΚΟΤΗΤΑΣ"</formula>
    </cfRule>
  </conditionalFormatting>
  <pageMargins left="0.75" right="0.75" top="1" bottom="1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orksheet_____4"/>
  <dimension ref="A1:I27"/>
  <sheetViews>
    <sheetView zoomScaleNormal="100" workbookViewId="0">
      <selection activeCell="E11" sqref="E11"/>
    </sheetView>
  </sheetViews>
  <sheetFormatPr defaultColWidth="8.7109375" defaultRowHeight="15" x14ac:dyDescent="0.25"/>
  <cols>
    <col min="1" max="1" width="12" customWidth="1"/>
    <col min="2" max="3" width="18" customWidth="1"/>
  </cols>
  <sheetData>
    <row r="1" spans="1:9" ht="20.25" customHeight="1" x14ac:dyDescent="0.25">
      <c r="A1" s="13" t="s">
        <v>44</v>
      </c>
      <c r="B1" s="13"/>
      <c r="C1" s="13"/>
      <c r="D1" s="13"/>
      <c r="E1" s="13"/>
      <c r="F1" s="13"/>
      <c r="G1" s="13"/>
      <c r="H1" s="13"/>
    </row>
    <row r="2" spans="1:9" ht="15" customHeight="1" x14ac:dyDescent="0.25">
      <c r="A2" s="20" t="s">
        <v>45</v>
      </c>
      <c r="B2" s="39">
        <f>HMERISIO_PROGRAMMA!B2</f>
        <v>46311</v>
      </c>
    </row>
    <row r="4" spans="1:9" ht="15" customHeight="1" x14ac:dyDescent="0.25">
      <c r="B4" s="11" t="s">
        <v>46</v>
      </c>
      <c r="C4" s="11"/>
      <c r="E4" s="11" t="s">
        <v>47</v>
      </c>
      <c r="F4" s="11"/>
      <c r="H4" s="10" t="s">
        <v>48</v>
      </c>
      <c r="I4" s="10"/>
    </row>
    <row r="5" spans="1:9" ht="18" customHeight="1" x14ac:dyDescent="0.25">
      <c r="B5" s="9">
        <f>COUNTIFS(ΡΑΝΤΕΒΟΥ!$B$3:$B$102, $B$2)</f>
        <v>3</v>
      </c>
      <c r="C5" s="9"/>
      <c r="E5" s="9">
        <f>SUMIFS(ΡΑΝΤΕΒΟΥ!$G$3:$G$102, ΡΑΝΤΕΒΟΥ!$B$3:$B$102, $B$2, ΡΑΝΤΕΒΟΥ!$I$3:$I$102, "&lt;&gt;Ακυρώθηκε")</f>
        <v>8</v>
      </c>
      <c r="F5" s="9"/>
      <c r="H5" s="8">
        <f>ΡΥΘΜΙΣΕΙΣ!B10</f>
        <v>50400</v>
      </c>
      <c r="I5" s="8"/>
    </row>
    <row r="7" spans="1:9" ht="15" customHeight="1" x14ac:dyDescent="0.25">
      <c r="B7" s="7" t="s">
        <v>49</v>
      </c>
      <c r="C7" s="7"/>
      <c r="E7" s="6" t="s">
        <v>50</v>
      </c>
      <c r="F7" s="6"/>
      <c r="H7" s="5" t="s">
        <v>51</v>
      </c>
      <c r="I7" s="5"/>
    </row>
    <row r="8" spans="1:9" ht="18" customHeight="1" x14ac:dyDescent="0.25">
      <c r="B8" s="4">
        <f>COUNTIFS(ΡΑΝΤΕΒΟΥ!$B$3:$B$102, $B$2, ΡΑΝΤΕΒΟΥ!$I$3:$I$102, "Σε αναμονή")</f>
        <v>0</v>
      </c>
      <c r="C8" s="4"/>
      <c r="E8" s="3">
        <f>COUNTIFS(ΡΑΝΤΕΒΟΥ!$B$3:$B$102, $B$2, ΡΑΝΤΕΒΟΥ!$I$3:$I$102, "Έφτασε") + COUNTIFS(ΡΑΝΤΕΒΟΥ!$B$3:$B$102, $B$2, ΡΑΝΤΕΒΟΥ!$I$3:$I$102, "Σε επεξεργασία")</f>
        <v>0</v>
      </c>
      <c r="F8" s="3"/>
      <c r="H8" s="2">
        <f>COUNTIFS(ΡΑΝΤΕΒΟΥ!$B$3:$B$102, $B$2, ΡΑΝΤΕΒΟΥ!$I$3:$I$102, "Ολοκληρώθηκε")</f>
        <v>0</v>
      </c>
      <c r="I8" s="2"/>
    </row>
    <row r="10" spans="1:9" ht="15" customHeight="1" x14ac:dyDescent="0.25">
      <c r="B10" s="1" t="s">
        <v>52</v>
      </c>
      <c r="C10" s="1"/>
      <c r="E10" s="46" t="s">
        <v>53</v>
      </c>
      <c r="F10" s="46"/>
      <c r="H10" s="47" t="s">
        <v>54</v>
      </c>
      <c r="I10" s="47"/>
    </row>
    <row r="11" spans="1:9" ht="18" customHeight="1" x14ac:dyDescent="0.25">
      <c r="B11" s="48">
        <f>COUNTIFS(ΡΑΝΤΕΒΟΥ!$B$3:$B$102, $B$2, ΡΑΝΤΕΒΟΥ!$I$3:$I$102, "Ακυρώθηκε")</f>
        <v>0</v>
      </c>
      <c r="C11" s="48"/>
      <c r="E11" s="9" t="str">
        <f>IF(E4&gt;H4, "ΥΠΕΡΒΑΣΗ", "ΚΑΝΟΝΙΚΟ")</f>
        <v>ΥΠΕΡΒΑΣΗ</v>
      </c>
      <c r="F11" s="9"/>
      <c r="H11" s="49">
        <f>E5/H5</f>
        <v>1.5873015873015873E-4</v>
      </c>
      <c r="I11" s="49"/>
    </row>
    <row r="14" spans="1:9" ht="15" customHeight="1" x14ac:dyDescent="0.25">
      <c r="A14" s="50" t="s">
        <v>55</v>
      </c>
      <c r="B14" s="50"/>
      <c r="C14" s="50"/>
    </row>
    <row r="15" spans="1:9" ht="15" customHeight="1" x14ac:dyDescent="0.25">
      <c r="A15" s="40" t="s">
        <v>3</v>
      </c>
      <c r="B15" s="40" t="s">
        <v>56</v>
      </c>
      <c r="C15" s="40" t="s">
        <v>57</v>
      </c>
    </row>
    <row r="16" spans="1:9" ht="15" customHeight="1" x14ac:dyDescent="0.25">
      <c r="A16" s="24" t="s">
        <v>58</v>
      </c>
      <c r="B16" s="24">
        <f>HMERISIO_PROGRAMMA!B5</f>
        <v>0</v>
      </c>
      <c r="C16" s="25">
        <f>HMERISIO_PROGRAMMA!C5</f>
        <v>0</v>
      </c>
    </row>
    <row r="17" spans="1:3" ht="15" customHeight="1" x14ac:dyDescent="0.25">
      <c r="A17" s="24" t="s">
        <v>59</v>
      </c>
      <c r="B17" s="24">
        <f>HMERISIO_PROGRAMMA!B6</f>
        <v>0</v>
      </c>
      <c r="C17" s="25">
        <f>HMERISIO_PROGRAMMA!C6</f>
        <v>0</v>
      </c>
    </row>
    <row r="18" spans="1:3" ht="15" customHeight="1" x14ac:dyDescent="0.25">
      <c r="A18" s="24" t="s">
        <v>60</v>
      </c>
      <c r="B18" s="24">
        <f>HMERISIO_PROGRAMMA!B7</f>
        <v>0</v>
      </c>
      <c r="C18" s="25">
        <f>HMERISIO_PROGRAMMA!C7</f>
        <v>0</v>
      </c>
    </row>
    <row r="19" spans="1:3" ht="15" customHeight="1" x14ac:dyDescent="0.25">
      <c r="A19" s="24" t="s">
        <v>61</v>
      </c>
      <c r="B19" s="24">
        <f>HMERISIO_PROGRAMMA!B8</f>
        <v>0</v>
      </c>
      <c r="C19" s="25">
        <f>HMERISIO_PROGRAMMA!C8</f>
        <v>0</v>
      </c>
    </row>
    <row r="20" spans="1:3" ht="15" customHeight="1" x14ac:dyDescent="0.25">
      <c r="A20" s="24" t="s">
        <v>10</v>
      </c>
      <c r="B20" s="24">
        <f>HMERISIO_PROGRAMMA!B9</f>
        <v>2</v>
      </c>
      <c r="C20" s="25">
        <f>HMERISIO_PROGRAMMA!C9</f>
        <v>3000</v>
      </c>
    </row>
    <row r="21" spans="1:3" ht="15" customHeight="1" x14ac:dyDescent="0.25">
      <c r="A21" s="24" t="s">
        <v>13</v>
      </c>
      <c r="B21" s="24">
        <f>HMERISIO_PROGRAMMA!B10</f>
        <v>0</v>
      </c>
      <c r="C21" s="25">
        <f>HMERISIO_PROGRAMMA!C10</f>
        <v>0</v>
      </c>
    </row>
    <row r="22" spans="1:3" ht="15" customHeight="1" x14ac:dyDescent="0.25">
      <c r="A22" s="24" t="s">
        <v>14</v>
      </c>
      <c r="B22" s="24">
        <f>HMERISIO_PROGRAMMA!B11</f>
        <v>1</v>
      </c>
      <c r="C22" s="25">
        <f>HMERISIO_PROGRAMMA!C11</f>
        <v>1000</v>
      </c>
    </row>
    <row r="23" spans="1:3" ht="15" customHeight="1" x14ac:dyDescent="0.25">
      <c r="A23" s="24" t="s">
        <v>15</v>
      </c>
      <c r="B23" s="24">
        <f>HMERISIO_PROGRAMMA!B12</f>
        <v>0</v>
      </c>
      <c r="C23" s="25">
        <f>HMERISIO_PROGRAMMA!C12</f>
        <v>0</v>
      </c>
    </row>
    <row r="24" spans="1:3" ht="15" customHeight="1" x14ac:dyDescent="0.25">
      <c r="A24" s="24" t="s">
        <v>62</v>
      </c>
      <c r="B24" s="24">
        <f>HMERISIO_PROGRAMMA!B13</f>
        <v>0</v>
      </c>
      <c r="C24" s="25">
        <f>HMERISIO_PROGRAMMA!C13</f>
        <v>0</v>
      </c>
    </row>
    <row r="25" spans="1:3" ht="15" customHeight="1" x14ac:dyDescent="0.25">
      <c r="A25" s="24" t="s">
        <v>63</v>
      </c>
      <c r="B25" s="24">
        <f>HMERISIO_PROGRAMMA!B14</f>
        <v>0</v>
      </c>
      <c r="C25" s="25">
        <f>HMERISIO_PROGRAMMA!C14</f>
        <v>0</v>
      </c>
    </row>
    <row r="26" spans="1:3" ht="15" customHeight="1" x14ac:dyDescent="0.25">
      <c r="A26" s="24" t="s">
        <v>64</v>
      </c>
      <c r="B26" s="24">
        <f>HMERISIO_PROGRAMMA!B15</f>
        <v>0</v>
      </c>
      <c r="C26" s="25">
        <f>HMERISIO_PROGRAMMA!C15</f>
        <v>0</v>
      </c>
    </row>
    <row r="27" spans="1:3" ht="15" customHeight="1" x14ac:dyDescent="0.25">
      <c r="A27" s="24" t="s">
        <v>65</v>
      </c>
      <c r="B27" s="24">
        <f>HMERISIO_PROGRAMMA!B16</f>
        <v>0</v>
      </c>
      <c r="C27" s="25">
        <f>HMERISIO_PROGRAMMA!C16</f>
        <v>0</v>
      </c>
    </row>
  </sheetData>
  <sheetProtection sheet="1"/>
  <mergeCells count="20">
    <mergeCell ref="A14:C14"/>
    <mergeCell ref="B10:C10"/>
    <mergeCell ref="E10:F10"/>
    <mergeCell ref="H10:I10"/>
    <mergeCell ref="B11:C11"/>
    <mergeCell ref="E11:F11"/>
    <mergeCell ref="H11:I11"/>
    <mergeCell ref="B7:C7"/>
    <mergeCell ref="E7:F7"/>
    <mergeCell ref="H7:I7"/>
    <mergeCell ref="B8:C8"/>
    <mergeCell ref="E8:F8"/>
    <mergeCell ref="H8:I8"/>
    <mergeCell ref="A1:H1"/>
    <mergeCell ref="B4:C4"/>
    <mergeCell ref="E4:F4"/>
    <mergeCell ref="H4:I4"/>
    <mergeCell ref="B5:C5"/>
    <mergeCell ref="E5:F5"/>
    <mergeCell ref="H5:I5"/>
  </mergeCells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Worksheet_____5"/>
  <dimension ref="A1:C25"/>
  <sheetViews>
    <sheetView zoomScaleNormal="100" workbookViewId="0">
      <selection activeCell="B5" sqref="B5"/>
    </sheetView>
  </sheetViews>
  <sheetFormatPr defaultColWidth="8.7109375" defaultRowHeight="15" x14ac:dyDescent="0.25"/>
  <cols>
    <col min="1" max="1" width="42" customWidth="1"/>
    <col min="2" max="2" width="16" customWidth="1"/>
    <col min="3" max="3" width="35" customWidth="1"/>
  </cols>
  <sheetData>
    <row r="1" spans="1:3" ht="20.25" customHeight="1" x14ac:dyDescent="0.25">
      <c r="A1" s="13" t="s">
        <v>66</v>
      </c>
      <c r="B1" s="13"/>
      <c r="C1" s="13"/>
    </row>
    <row r="3" spans="1:3" ht="15" customHeight="1" x14ac:dyDescent="0.25">
      <c r="A3" s="14" t="s">
        <v>67</v>
      </c>
      <c r="B3" s="14" t="s">
        <v>68</v>
      </c>
      <c r="C3" s="14" t="s">
        <v>69</v>
      </c>
    </row>
    <row r="4" spans="1:3" ht="15" customHeight="1" x14ac:dyDescent="0.25">
      <c r="A4" s="41" t="s">
        <v>70</v>
      </c>
      <c r="B4" s="42">
        <v>7</v>
      </c>
      <c r="C4" s="43" t="s">
        <v>71</v>
      </c>
    </row>
    <row r="5" spans="1:3" ht="15" customHeight="1" x14ac:dyDescent="0.25">
      <c r="A5" s="41" t="s">
        <v>72</v>
      </c>
      <c r="B5" s="42">
        <v>600</v>
      </c>
      <c r="C5" s="43" t="s">
        <v>73</v>
      </c>
    </row>
    <row r="6" spans="1:3" ht="15" customHeight="1" x14ac:dyDescent="0.25">
      <c r="A6" s="41" t="s">
        <v>74</v>
      </c>
      <c r="B6" s="42">
        <v>2</v>
      </c>
      <c r="C6" s="43" t="s">
        <v>75</v>
      </c>
    </row>
    <row r="7" spans="1:3" ht="15" customHeight="1" x14ac:dyDescent="0.25">
      <c r="A7" s="41" t="s">
        <v>76</v>
      </c>
      <c r="B7" s="42">
        <v>24</v>
      </c>
      <c r="C7" s="43" t="s">
        <v>75</v>
      </c>
    </row>
    <row r="8" spans="1:3" ht="15" customHeight="1" x14ac:dyDescent="0.25">
      <c r="A8" s="41" t="s">
        <v>77</v>
      </c>
      <c r="B8" s="44">
        <f>B4*B5</f>
        <v>4200</v>
      </c>
      <c r="C8" s="43" t="s">
        <v>78</v>
      </c>
    </row>
    <row r="9" spans="1:3" ht="15" customHeight="1" x14ac:dyDescent="0.25">
      <c r="A9" s="41" t="s">
        <v>79</v>
      </c>
      <c r="B9" s="42">
        <v>12</v>
      </c>
      <c r="C9" s="43" t="s">
        <v>80</v>
      </c>
    </row>
    <row r="10" spans="1:3" ht="15" customHeight="1" x14ac:dyDescent="0.25">
      <c r="A10" s="41" t="s">
        <v>81</v>
      </c>
      <c r="B10" s="44">
        <f>B4*B9*B5</f>
        <v>50400</v>
      </c>
      <c r="C10" s="43" t="s">
        <v>82</v>
      </c>
    </row>
    <row r="13" spans="1:3" ht="15" customHeight="1" x14ac:dyDescent="0.25">
      <c r="A13" s="45" t="s">
        <v>83</v>
      </c>
      <c r="C13" s="45" t="s">
        <v>84</v>
      </c>
    </row>
    <row r="14" spans="1:3" ht="15" customHeight="1" x14ac:dyDescent="0.25">
      <c r="A14" s="24" t="s">
        <v>58</v>
      </c>
      <c r="C14" s="24" t="s">
        <v>85</v>
      </c>
    </row>
    <row r="15" spans="1:3" ht="15" customHeight="1" x14ac:dyDescent="0.25">
      <c r="A15" s="24" t="s">
        <v>59</v>
      </c>
      <c r="C15" s="24" t="s">
        <v>86</v>
      </c>
    </row>
    <row r="16" spans="1:3" ht="15" customHeight="1" x14ac:dyDescent="0.25">
      <c r="A16" s="24" t="s">
        <v>60</v>
      </c>
      <c r="C16" s="24" t="s">
        <v>87</v>
      </c>
    </row>
    <row r="17" spans="1:3" ht="15" customHeight="1" x14ac:dyDescent="0.25">
      <c r="A17" s="24" t="s">
        <v>61</v>
      </c>
      <c r="C17" s="24" t="s">
        <v>88</v>
      </c>
    </row>
    <row r="18" spans="1:3" ht="15" customHeight="1" x14ac:dyDescent="0.25">
      <c r="A18" s="24" t="s">
        <v>10</v>
      </c>
      <c r="C18" s="24" t="s">
        <v>89</v>
      </c>
    </row>
    <row r="19" spans="1:3" ht="15" customHeight="1" x14ac:dyDescent="0.25">
      <c r="A19" s="24" t="s">
        <v>13</v>
      </c>
    </row>
    <row r="20" spans="1:3" ht="15" customHeight="1" x14ac:dyDescent="0.25">
      <c r="A20" s="24" t="s">
        <v>14</v>
      </c>
    </row>
    <row r="21" spans="1:3" ht="15" customHeight="1" x14ac:dyDescent="0.25">
      <c r="A21" s="24" t="s">
        <v>15</v>
      </c>
    </row>
    <row r="22" spans="1:3" ht="15" customHeight="1" x14ac:dyDescent="0.25">
      <c r="A22" s="24" t="s">
        <v>62</v>
      </c>
    </row>
    <row r="23" spans="1:3" ht="15" customHeight="1" x14ac:dyDescent="0.25">
      <c r="A23" s="24" t="s">
        <v>63</v>
      </c>
    </row>
    <row r="24" spans="1:3" ht="15" customHeight="1" x14ac:dyDescent="0.25">
      <c r="A24" s="24" t="s">
        <v>64</v>
      </c>
    </row>
    <row r="25" spans="1:3" ht="15" customHeight="1" x14ac:dyDescent="0.25">
      <c r="A25" s="24" t="s">
        <v>65</v>
      </c>
    </row>
  </sheetData>
  <sheetProtection sheet="1"/>
  <mergeCells count="1">
    <mergeCell ref="A1:C1"/>
  </mergeCells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Φύλλα εργασίας</vt:lpstr>
      </vt:variant>
      <vt:variant>
        <vt:i4>5</vt:i4>
      </vt:variant>
    </vt:vector>
  </HeadingPairs>
  <TitlesOfParts>
    <vt:vector size="5" baseType="lpstr">
      <vt:lpstr>ΡΑΝΤΕΒΟΥ</vt:lpstr>
      <vt:lpstr>HMERISIO_PROGRAMMA</vt:lpstr>
      <vt:lpstr>ΛΙΣΤΑ ΠΕΛΑΤΩΝ ΗΜΕΡΑΣ</vt:lpstr>
      <vt:lpstr>ΣΥΝΟΨΗ</vt:lpstr>
      <vt:lpstr>ΡΥΘΜΙΣΕΙΣ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pc</cp:lastModifiedBy>
  <cp:revision>11</cp:revision>
  <dcterms:created xsi:type="dcterms:W3CDTF">2026-09-07T19:04:41Z</dcterms:created>
  <dcterms:modified xsi:type="dcterms:W3CDTF">2026-10-02T16:53:27Z</dcterms:modified>
  <dc:language>en-US</dc:language>
</cp:coreProperties>
</file>