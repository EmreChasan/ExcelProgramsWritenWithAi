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Πρόγραμμα Ραντεβού" sheetId="1" r:id="rId1"/>
    <sheet name="Ρυθμίσεις" sheetId="2" r:id="rId2"/>
  </sheets>
  <definedNames>
    <definedName name="DoctorsList">Ρυθμίσεις!$C$4:$C$30</definedName>
    <definedName name="_xlnm.Print_Titles" localSheetId="0">'Πρόγραμμα Ραντεβού'!$1:$7</definedName>
    <definedName name="RoomsList">Ρυθμίσεις!$F$4:$F$10</definedName>
    <definedName name="TherapiesList">Ρυθμίσεις!$A$4:$A$50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6" i="1"/>
  <c r="L100"/>
  <c r="J100"/>
  <c r="A100"/>
  <c r="L99"/>
  <c r="J99"/>
  <c r="A99"/>
  <c r="L98"/>
  <c r="J98"/>
  <c r="A98"/>
  <c r="L97"/>
  <c r="J97"/>
  <c r="A97"/>
  <c r="L96"/>
  <c r="J96"/>
  <c r="A96"/>
  <c r="L95"/>
  <c r="J95"/>
  <c r="A95"/>
  <c r="L94"/>
  <c r="J94"/>
  <c r="A94"/>
  <c r="L93"/>
  <c r="J93"/>
  <c r="A93"/>
  <c r="L92"/>
  <c r="J92"/>
  <c r="A92"/>
  <c r="L91"/>
  <c r="J91"/>
  <c r="A91"/>
  <c r="L90"/>
  <c r="J90"/>
  <c r="A90"/>
  <c r="L89"/>
  <c r="J89"/>
  <c r="A89"/>
  <c r="L88"/>
  <c r="J88"/>
  <c r="A88"/>
  <c r="L87"/>
  <c r="J87"/>
  <c r="A87"/>
  <c r="L86"/>
  <c r="J86"/>
  <c r="A86"/>
  <c r="L85"/>
  <c r="J85"/>
  <c r="A85"/>
  <c r="L84"/>
  <c r="J84"/>
  <c r="A84"/>
  <c r="L83"/>
  <c r="J83"/>
  <c r="A83"/>
  <c r="L82"/>
  <c r="J82"/>
  <c r="A82"/>
  <c r="L81"/>
  <c r="J81"/>
  <c r="A81"/>
  <c r="L80"/>
  <c r="J80"/>
  <c r="A80"/>
  <c r="L79"/>
  <c r="J79"/>
  <c r="A79"/>
  <c r="L78"/>
  <c r="J78"/>
  <c r="A78"/>
  <c r="L77"/>
  <c r="J77"/>
  <c r="A77"/>
  <c r="L76"/>
  <c r="J76"/>
  <c r="A76"/>
  <c r="L75"/>
  <c r="J75"/>
  <c r="A75"/>
  <c r="L74"/>
  <c r="J74"/>
  <c r="A74"/>
  <c r="L73"/>
  <c r="J73"/>
  <c r="A73"/>
  <c r="L72"/>
  <c r="J72"/>
  <c r="A72"/>
  <c r="L71"/>
  <c r="J71"/>
  <c r="A71"/>
  <c r="L70"/>
  <c r="J70"/>
  <c r="A70"/>
  <c r="L69"/>
  <c r="J69"/>
  <c r="A69"/>
  <c r="L68"/>
  <c r="J68"/>
  <c r="A68"/>
  <c r="L67"/>
  <c r="J67"/>
  <c r="A67"/>
  <c r="L66"/>
  <c r="J66"/>
  <c r="A66"/>
  <c r="L65"/>
  <c r="J65"/>
  <c r="A65"/>
  <c r="L64"/>
  <c r="J64"/>
  <c r="A64"/>
  <c r="L63"/>
  <c r="J63"/>
  <c r="A63"/>
  <c r="L62"/>
  <c r="J62"/>
  <c r="A62"/>
  <c r="L61"/>
  <c r="J61"/>
  <c r="A61"/>
  <c r="L60"/>
  <c r="J60"/>
  <c r="A60"/>
  <c r="L59"/>
  <c r="J59"/>
  <c r="A59"/>
  <c r="L58"/>
  <c r="J58"/>
  <c r="A58"/>
  <c r="L57"/>
  <c r="J57"/>
  <c r="A57"/>
  <c r="L56"/>
  <c r="J56"/>
  <c r="A56"/>
  <c r="L55"/>
  <c r="J55"/>
  <c r="A55"/>
  <c r="L54"/>
  <c r="J54"/>
  <c r="A54"/>
  <c r="L53"/>
  <c r="J53"/>
  <c r="A53"/>
  <c r="L52"/>
  <c r="J52"/>
  <c r="A52"/>
  <c r="L51"/>
  <c r="J51"/>
  <c r="A51"/>
  <c r="L50"/>
  <c r="J50"/>
  <c r="A50"/>
  <c r="L49"/>
  <c r="J49"/>
  <c r="A49"/>
  <c r="L48"/>
  <c r="J48"/>
  <c r="A48"/>
  <c r="L47"/>
  <c r="J47"/>
  <c r="A47"/>
  <c r="L46"/>
  <c r="J46"/>
  <c r="A46"/>
  <c r="L45"/>
  <c r="J45"/>
  <c r="A45"/>
  <c r="L44"/>
  <c r="J44"/>
  <c r="A44"/>
  <c r="L43"/>
  <c r="J43"/>
  <c r="A43"/>
  <c r="L42"/>
  <c r="J42"/>
  <c r="A42"/>
  <c r="L41"/>
  <c r="J41"/>
  <c r="A41"/>
  <c r="L40"/>
  <c r="J40"/>
  <c r="A40"/>
  <c r="L39"/>
  <c r="J39"/>
  <c r="A39"/>
  <c r="L38"/>
  <c r="J38"/>
  <c r="A38"/>
  <c r="L37"/>
  <c r="J37"/>
  <c r="A37"/>
  <c r="L36"/>
  <c r="J36"/>
  <c r="A36"/>
  <c r="L35"/>
  <c r="J35"/>
  <c r="A35"/>
  <c r="L34"/>
  <c r="J34"/>
  <c r="A34"/>
  <c r="L33"/>
  <c r="J33"/>
  <c r="A33"/>
  <c r="L32"/>
  <c r="J32"/>
  <c r="A32"/>
  <c r="L31"/>
  <c r="J31"/>
  <c r="A31"/>
  <c r="L30"/>
  <c r="J30"/>
  <c r="A30"/>
  <c r="L29"/>
  <c r="J29"/>
  <c r="A29"/>
  <c r="L28"/>
  <c r="J28"/>
  <c r="A28"/>
  <c r="L27"/>
  <c r="J27"/>
  <c r="A27"/>
  <c r="L26"/>
  <c r="J26"/>
  <c r="A26"/>
  <c r="L25"/>
  <c r="J25"/>
  <c r="A25"/>
  <c r="L24"/>
  <c r="J24"/>
  <c r="A24"/>
  <c r="L23"/>
  <c r="J23"/>
  <c r="A23"/>
  <c r="L22"/>
  <c r="J22"/>
  <c r="A22"/>
  <c r="L21"/>
  <c r="J21"/>
  <c r="A21"/>
  <c r="L20"/>
  <c r="J20"/>
  <c r="A20"/>
  <c r="L19"/>
  <c r="J19"/>
  <c r="A19"/>
  <c r="L18"/>
  <c r="J18"/>
  <c r="A18"/>
  <c r="L17"/>
  <c r="J17"/>
  <c r="A17"/>
  <c r="L16"/>
  <c r="J16"/>
  <c r="J15"/>
  <c r="L15" s="1"/>
  <c r="A15"/>
  <c r="J14"/>
  <c r="L14" s="1"/>
  <c r="A14"/>
  <c r="J13"/>
  <c r="L13" s="1"/>
  <c r="A13"/>
  <c r="J12"/>
  <c r="L12" s="1"/>
  <c r="A12"/>
  <c r="J11"/>
  <c r="L11" s="1"/>
  <c r="A11"/>
  <c r="J10"/>
  <c r="L10" s="1"/>
  <c r="A10"/>
  <c r="J9"/>
  <c r="L9" s="1"/>
  <c r="A9"/>
  <c r="J8"/>
  <c r="L8" s="1"/>
  <c r="A8"/>
  <c r="J5"/>
  <c r="H5"/>
  <c r="F5"/>
  <c r="D5"/>
  <c r="B5"/>
  <c r="L5" l="1"/>
</calcChain>
</file>

<file path=xl/sharedStrings.xml><?xml version="1.0" encoding="utf-8"?>
<sst xmlns="http://schemas.openxmlformats.org/spreadsheetml/2006/main" count="85" uniqueCount="48">
  <si>
    <t>ΣΥΣΤΗΜΑ ΔΙΑΧΕΙΡΙΣΗΣ ΡΑΝΤΕΒΟΥ &amp; ΑΣΘΕΝΩΝ ΟΔΟΝΤΙΑΤΡΕΙΟΥ</t>
  </si>
  <si>
    <t>Ημερήσιος &amp; Εβδομαδιαίος Πίνακας Διαχείρισης Ραντεβού</t>
  </si>
  <si>
    <t>Σύνολο Ραντεβού</t>
  </si>
  <si>
    <t>Ολοκληρωμένα</t>
  </si>
  <si>
    <t>Σε Αναμονή</t>
  </si>
  <si>
    <t>Ακυρωμένα</t>
  </si>
  <si>
    <t>Συνολικά Έσοδα (€)</t>
  </si>
  <si>
    <t>Εκκρεμές Υπόλοιπο (€)</t>
  </si>
  <si>
    <t>ID Ραντεβού</t>
  </si>
  <si>
    <t>Ημερομηνία</t>
  </si>
  <si>
    <t>Ώρα</t>
  </si>
  <si>
    <t>Ονοματεπώνυμο Ασθενούς</t>
  </si>
  <si>
    <t>Τηλέφωνο</t>
  </si>
  <si>
    <t>Θεραπεία / Εργασία</t>
  </si>
  <si>
    <t>Ιατρός</t>
  </si>
  <si>
    <t>Αίθουσα</t>
  </si>
  <si>
    <t>Κατάσταση</t>
  </si>
  <si>
    <t>Κόστος (€)</t>
  </si>
  <si>
    <t>Πληρώθηκε (€)</t>
  </si>
  <si>
    <t>Υπόλοιπο (€)</t>
  </si>
  <si>
    <t>Εξαγωγή Δοντιού</t>
  </si>
  <si>
    <t>Ιατρείο 1</t>
  </si>
  <si>
    <t>Ολοκληρώθηκε</t>
  </si>
  <si>
    <t>Απονεύρωση</t>
  </si>
  <si>
    <t>Ιατρείο 2</t>
  </si>
  <si>
    <t>Καθαρισμός</t>
  </si>
  <si>
    <t>Θήκη Ζιρκονίου</t>
  </si>
  <si>
    <t>Σφράγισμα</t>
  </si>
  <si>
    <t>Ακυρώθηκε</t>
  </si>
  <si>
    <t>Εξέταση / Διάγνωση</t>
  </si>
  <si>
    <t>Ιατρείο 3</t>
  </si>
  <si>
    <t>Λεύκανση</t>
  </si>
  <si>
    <t>ΡΥΘΜΙΣΕΙΣ ΚΛΙΝΙΚΗΣ &amp; ΙΑΤΡΩΝ</t>
  </si>
  <si>
    <t>Λίστα Θεραπειών / Εργασιών</t>
  </si>
  <si>
    <t>Προκαθορισμένο Κόστος</t>
  </si>
  <si>
    <t>Λίστα Ιατρών</t>
  </si>
  <si>
    <t>Ειδικότητα</t>
  </si>
  <si>
    <t>Λίστα Αιθουσών</t>
  </si>
  <si>
    <t>Γναθοχειρουργός</t>
  </si>
  <si>
    <t>Ενδοδοντολόγος</t>
  </si>
  <si>
    <t>Γενικός Οδοντίατρος</t>
  </si>
  <si>
    <t>Ορθοδοντικός</t>
  </si>
  <si>
    <t>Ιατρείο 4</t>
  </si>
  <si>
    <t>Εξαγωγή Φρονιμίτη</t>
  </si>
  <si>
    <t>Εμφύτευμα</t>
  </si>
  <si>
    <t>Mike Oxlong</t>
  </si>
  <si>
    <t>xxxxxxxxxxx</t>
  </si>
  <si>
    <t>παιρνει αυτοματα id μετα από εισαγωγη ασθενου</t>
  </si>
</sst>
</file>

<file path=xl/styles.xml><?xml version="1.0" encoding="utf-8"?>
<styleSheet xmlns="http://schemas.openxmlformats.org/spreadsheetml/2006/main">
  <numFmts count="3">
    <numFmt numFmtId="164" formatCode="#,##0&quot; €&quot;"/>
    <numFmt numFmtId="165" formatCode="dd/mm/yyyy"/>
    <numFmt numFmtId="166" formatCode="h:mm"/>
  </numFmts>
  <fonts count="7">
    <font>
      <sz val="11"/>
      <color theme="1"/>
      <name val="Calibri"/>
      <family val="2"/>
      <charset val="1"/>
    </font>
    <font>
      <b/>
      <sz val="16"/>
      <color rgb="FFFFFFFF"/>
      <name val="Segoe UI"/>
      <charset val="1"/>
    </font>
    <font>
      <i/>
      <sz val="11"/>
      <color rgb="FFE6F4F8"/>
      <name val="Segoe UI"/>
      <charset val="1"/>
    </font>
    <font>
      <b/>
      <sz val="9"/>
      <color rgb="FF555555"/>
      <name val="Segoe UI"/>
      <charset val="1"/>
    </font>
    <font>
      <b/>
      <sz val="18"/>
      <color rgb="FF0D5C75"/>
      <name val="Segoe UI"/>
      <charset val="1"/>
    </font>
    <font>
      <b/>
      <sz val="11"/>
      <color rgb="FFFFFFFF"/>
      <name val="Segoe UI"/>
      <charset val="1"/>
    </font>
    <font>
      <sz val="11"/>
      <color rgb="FF1C2D37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0D5C75"/>
        <bgColor rgb="FF0066CC"/>
      </patternFill>
    </fill>
    <fill>
      <patternFill patternType="solid">
        <fgColor rgb="FFE6F4F8"/>
        <bgColor rgb="FFF7FCFE"/>
      </patternFill>
    </fill>
    <fill>
      <patternFill patternType="solid">
        <fgColor rgb="FF1985A1"/>
        <bgColor rgb="FF339966"/>
      </patternFill>
    </fill>
    <fill>
      <patternFill patternType="solid">
        <fgColor rgb="FFF7FCFE"/>
        <bgColor rgb="FFFFFFFF"/>
      </patternFill>
    </fill>
    <fill>
      <patternFill patternType="solid">
        <fgColor rgb="FFFFFFFF"/>
        <bgColor rgb="FFF7FCFE"/>
      </patternFill>
    </fill>
  </fills>
  <borders count="2">
    <border>
      <left/>
      <right/>
      <top/>
      <bottom/>
      <diagonal/>
    </border>
    <border>
      <left style="thin">
        <color rgb="FFD0DCE5"/>
      </left>
      <right style="thin">
        <color rgb="FFD0DCE5"/>
      </right>
      <top style="thin">
        <color rgb="FFD0DCE5"/>
      </top>
      <bottom style="thin">
        <color rgb="FFD0DCE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0" fillId="0" borderId="0" xfId="0" applyAlignment="1"/>
    <xf numFmtId="0" fontId="3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/>
    <xf numFmtId="164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</cellXfs>
  <cellStyles count="1">
    <cellStyle name="Κανονικό" xfId="0" builtinId="0"/>
  </cellStyles>
  <dxfs count="4">
    <dxf>
      <font>
        <b/>
        <color rgb="FFC65911"/>
      </font>
      <fill>
        <patternFill>
          <bgColor rgb="FFFCE4D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985A1"/>
      <rgbColor rgb="FFC0C0C0"/>
      <rgbColor rgb="FF808080"/>
      <rgbColor rgb="FF9999FF"/>
      <rgbColor rgb="FF993366"/>
      <rgbColor rgb="FFF7FCFE"/>
      <rgbColor rgb="FFE6F4F8"/>
      <rgbColor rgb="FF660066"/>
      <rgbColor rgb="FFFF8080"/>
      <rgbColor rgb="FF0066CC"/>
      <rgbColor rgb="FFD0DCE5"/>
      <rgbColor rgb="FF000080"/>
      <rgbColor rgb="FFFF00FF"/>
      <rgbColor rgb="FFFFFF00"/>
      <rgbColor rgb="FF00FFFF"/>
      <rgbColor rgb="FF800080"/>
      <rgbColor rgb="FF800000"/>
      <rgbColor rgb="FF0D5C75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65911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D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00"/>
  <sheetViews>
    <sheetView tabSelected="1" workbookViewId="0">
      <pane ySplit="7" topLeftCell="A8" activePane="bottomLeft" state="frozen"/>
      <selection pane="bottomLeft" activeCell="B6" sqref="A6:XFD6"/>
    </sheetView>
  </sheetViews>
  <sheetFormatPr defaultColWidth="8.7109375" defaultRowHeight="15"/>
  <cols>
    <col min="1" max="1" width="16" style="3" customWidth="1"/>
    <col min="2" max="2" width="15" style="3" customWidth="1"/>
    <col min="3" max="3" width="13.28515625" style="3" customWidth="1"/>
    <col min="4" max="4" width="32.28515625" style="3" customWidth="1"/>
    <col min="5" max="5" width="18" style="3" customWidth="1"/>
    <col min="6" max="7" width="24" style="3" customWidth="1"/>
    <col min="8" max="8" width="14" style="3" customWidth="1"/>
    <col min="9" max="9" width="16" style="3" customWidth="1"/>
    <col min="10" max="12" width="15" style="3" customWidth="1"/>
  </cols>
  <sheetData>
    <row r="1" spans="1:12" ht="34.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9.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 ht="15" customHeight="1">
      <c r="B4" s="4" t="s">
        <v>2</v>
      </c>
      <c r="D4" s="4" t="s">
        <v>3</v>
      </c>
      <c r="F4" s="4" t="s">
        <v>4</v>
      </c>
      <c r="H4" s="4" t="s">
        <v>5</v>
      </c>
      <c r="J4" s="4" t="s">
        <v>6</v>
      </c>
      <c r="L4" s="4" t="s">
        <v>7</v>
      </c>
    </row>
    <row r="5" spans="1:12" ht="26.25" customHeight="1">
      <c r="B5" s="5">
        <f>COUNTIF(D8:D100,"&lt;&gt;")</f>
        <v>9</v>
      </c>
      <c r="D5" s="5">
        <f>COUNTIF(I8:I100, "Ολοκληρώθηκε")</f>
        <v>3</v>
      </c>
      <c r="F5" s="5">
        <f>COUNTIF(I8:I100, "Σε Αναμονή")</f>
        <v>4</v>
      </c>
      <c r="H5" s="5">
        <f>COUNTIF(I8:I100, "Ακυρώθηκε")</f>
        <v>1</v>
      </c>
      <c r="J5" s="6">
        <f>SUM(K8:K100)</f>
        <v>490</v>
      </c>
      <c r="L5" s="6" t="e">
        <f>SUM(L8:L100)</f>
        <v>#VALUE!</v>
      </c>
    </row>
    <row r="6" spans="1:12">
      <c r="A6" s="3" t="s">
        <v>47</v>
      </c>
    </row>
    <row r="7" spans="1:12" ht="25.5" customHeight="1">
      <c r="A7" s="7" t="s">
        <v>8</v>
      </c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H7" s="7" t="s">
        <v>15</v>
      </c>
      <c r="I7" s="7" t="s">
        <v>16</v>
      </c>
      <c r="J7" s="7" t="s">
        <v>17</v>
      </c>
      <c r="K7" s="7" t="s">
        <v>18</v>
      </c>
      <c r="L7" s="7" t="s">
        <v>19</v>
      </c>
    </row>
    <row r="8" spans="1:12" ht="19.5" customHeight="1">
      <c r="A8" s="8" t="str">
        <f t="shared" ref="A8:A39" si="0">IF(D8="","", "RND-" &amp; TEXT(1000 + ROW() - 7, "0000"))</f>
        <v>RND-1001</v>
      </c>
      <c r="B8" s="9">
        <v>46286</v>
      </c>
      <c r="C8" s="10">
        <v>0.375</v>
      </c>
      <c r="D8" s="11" t="s">
        <v>45</v>
      </c>
      <c r="E8" s="11" t="s">
        <v>46</v>
      </c>
      <c r="F8" s="11" t="s">
        <v>20</v>
      </c>
      <c r="G8" s="11">
        <v>1</v>
      </c>
      <c r="H8" s="8" t="s">
        <v>21</v>
      </c>
      <c r="I8" s="8" t="s">
        <v>22</v>
      </c>
      <c r="J8" s="12">
        <f>IF(F8="","",IFERROR(VLOOKUP(F8,Ρυθμίσεις!$A$4:$B$50,2,FALSE()),0))</f>
        <v>50</v>
      </c>
      <c r="K8" s="12">
        <v>50</v>
      </c>
      <c r="L8" s="12">
        <f t="shared" ref="L8:L39" si="1">IF(D8="","",J8-K8)</f>
        <v>0</v>
      </c>
    </row>
    <row r="9" spans="1:12" ht="19.5" customHeight="1">
      <c r="A9" s="13" t="str">
        <f t="shared" si="0"/>
        <v>RND-1002</v>
      </c>
      <c r="B9" s="14">
        <v>46286</v>
      </c>
      <c r="C9" s="15">
        <v>0.41666666666666702</v>
      </c>
      <c r="D9" s="11" t="s">
        <v>45</v>
      </c>
      <c r="E9" s="11" t="s">
        <v>46</v>
      </c>
      <c r="F9" s="16" t="s">
        <v>23</v>
      </c>
      <c r="G9" s="16">
        <v>2</v>
      </c>
      <c r="H9" s="13" t="s">
        <v>24</v>
      </c>
      <c r="I9" s="13" t="s">
        <v>22</v>
      </c>
      <c r="J9" s="17">
        <f>IF(F9="","",IFERROR(VLOOKUP(F9,Ρυθμίσεις!$A$4:$B$50,2,FALSE()),0))</f>
        <v>120</v>
      </c>
      <c r="K9" s="17">
        <v>120</v>
      </c>
      <c r="L9" s="12">
        <f t="shared" si="1"/>
        <v>0</v>
      </c>
    </row>
    <row r="10" spans="1:12" ht="19.5" customHeight="1">
      <c r="A10" s="8" t="str">
        <f t="shared" si="0"/>
        <v>RND-1003</v>
      </c>
      <c r="B10" s="9">
        <v>46286</v>
      </c>
      <c r="C10" s="10">
        <v>0.47916666666666702</v>
      </c>
      <c r="D10" s="11" t="s">
        <v>45</v>
      </c>
      <c r="E10" s="11" t="s">
        <v>46</v>
      </c>
      <c r="F10" s="11" t="s">
        <v>25</v>
      </c>
      <c r="G10" s="11">
        <v>3</v>
      </c>
      <c r="H10" s="8" t="s">
        <v>21</v>
      </c>
      <c r="I10" s="8" t="s">
        <v>4</v>
      </c>
      <c r="J10" s="12">
        <f>IF(F10="","",IFERROR(VLOOKUP(F10,Ρυθμίσεις!$A$4:$B$50,2,FALSE()),0))</f>
        <v>40</v>
      </c>
      <c r="K10" s="12">
        <v>0</v>
      </c>
      <c r="L10" s="12">
        <f t="shared" si="1"/>
        <v>40</v>
      </c>
    </row>
    <row r="11" spans="1:12" ht="19.5" customHeight="1">
      <c r="A11" s="13" t="str">
        <f t="shared" si="0"/>
        <v>RND-1004</v>
      </c>
      <c r="B11" s="14">
        <v>46286</v>
      </c>
      <c r="C11" s="15">
        <v>0.58333333333333304</v>
      </c>
      <c r="D11" s="11" t="s">
        <v>45</v>
      </c>
      <c r="E11" s="11" t="s">
        <v>46</v>
      </c>
      <c r="F11" s="16" t="s">
        <v>26</v>
      </c>
      <c r="G11" s="16">
        <v>3</v>
      </c>
      <c r="H11" s="13" t="s">
        <v>21</v>
      </c>
      <c r="I11" s="13" t="s">
        <v>4</v>
      </c>
      <c r="J11" s="17">
        <f>IF(F11="","",IFERROR(VLOOKUP(F11,Ρυθμίσεις!$A$4:$B$50,2,FALSE()),0))</f>
        <v>250</v>
      </c>
      <c r="K11" s="17">
        <v>100</v>
      </c>
      <c r="L11" s="12">
        <f t="shared" si="1"/>
        <v>150</v>
      </c>
    </row>
    <row r="12" spans="1:12" ht="19.5" customHeight="1">
      <c r="A12" s="8" t="str">
        <f t="shared" si="0"/>
        <v>RND-1005</v>
      </c>
      <c r="B12" s="9">
        <v>46286</v>
      </c>
      <c r="C12" s="10">
        <v>0.64583333333333304</v>
      </c>
      <c r="D12" s="11" t="s">
        <v>45</v>
      </c>
      <c r="E12" s="11" t="s">
        <v>46</v>
      </c>
      <c r="F12" s="11" t="s">
        <v>27</v>
      </c>
      <c r="G12" s="11">
        <v>1</v>
      </c>
      <c r="H12" s="8" t="s">
        <v>24</v>
      </c>
      <c r="I12" s="8" t="s">
        <v>28</v>
      </c>
      <c r="J12" s="12">
        <f>IF(F12="","",IFERROR(VLOOKUP(F12,Ρυθμίσεις!$A$4:$B$50,2,FALSE()),0))</f>
        <v>60</v>
      </c>
      <c r="K12" s="12">
        <v>0</v>
      </c>
      <c r="L12" s="12">
        <f t="shared" si="1"/>
        <v>60</v>
      </c>
    </row>
    <row r="13" spans="1:12" ht="19.5" customHeight="1">
      <c r="A13" s="13" t="str">
        <f t="shared" si="0"/>
        <v>RND-1006</v>
      </c>
      <c r="B13" s="14">
        <v>46287</v>
      </c>
      <c r="C13" s="15">
        <v>0.39583333333333298</v>
      </c>
      <c r="D13" s="11" t="s">
        <v>45</v>
      </c>
      <c r="E13" s="11" t="s">
        <v>46</v>
      </c>
      <c r="F13" s="16" t="s">
        <v>29</v>
      </c>
      <c r="G13" s="16">
        <v>3</v>
      </c>
      <c r="H13" s="13" t="s">
        <v>30</v>
      </c>
      <c r="I13" s="13" t="s">
        <v>22</v>
      </c>
      <c r="J13" s="17">
        <f>IF(F13="","",IFERROR(VLOOKUP(F13,Ρυθμίσεις!$A$4:$B$50,2,FALSE()),0))</f>
        <v>20</v>
      </c>
      <c r="K13" s="17">
        <v>20</v>
      </c>
      <c r="L13" s="12">
        <f t="shared" si="1"/>
        <v>0</v>
      </c>
    </row>
    <row r="14" spans="1:12" ht="19.5" customHeight="1">
      <c r="A14" s="8" t="str">
        <f t="shared" si="0"/>
        <v>RND-1007</v>
      </c>
      <c r="B14" s="9">
        <v>46287</v>
      </c>
      <c r="C14" s="10">
        <v>0.45833333333333298</v>
      </c>
      <c r="D14" s="11" t="s">
        <v>45</v>
      </c>
      <c r="E14" s="11" t="s">
        <v>46</v>
      </c>
      <c r="F14" s="11" t="s">
        <v>31</v>
      </c>
      <c r="G14" s="11">
        <v>1</v>
      </c>
      <c r="H14" s="8" t="s">
        <v>21</v>
      </c>
      <c r="I14" s="8" t="s">
        <v>4</v>
      </c>
      <c r="J14" s="12">
        <f>IF(F14="","",IFERROR(VLOOKUP(F14,Ρυθμίσεις!$A$4:$B$50,2,FALSE()),0))</f>
        <v>150</v>
      </c>
      <c r="K14" s="12">
        <v>150</v>
      </c>
      <c r="L14" s="12">
        <f t="shared" si="1"/>
        <v>0</v>
      </c>
    </row>
    <row r="15" spans="1:12" ht="19.5" customHeight="1">
      <c r="A15" s="13" t="str">
        <f t="shared" si="0"/>
        <v>RND-1008</v>
      </c>
      <c r="B15" s="14">
        <v>46287</v>
      </c>
      <c r="C15" s="15">
        <v>0.60416666666666696</v>
      </c>
      <c r="D15" s="11" t="s">
        <v>45</v>
      </c>
      <c r="E15" s="11" t="s">
        <v>46</v>
      </c>
      <c r="F15" s="16" t="s">
        <v>20</v>
      </c>
      <c r="G15" s="16">
        <v>1</v>
      </c>
      <c r="H15" s="13" t="s">
        <v>24</v>
      </c>
      <c r="I15" s="13" t="s">
        <v>4</v>
      </c>
      <c r="J15" s="17">
        <f>IF(F15="","",IFERROR(VLOOKUP(F15,Ρυθμίσεις!$A$4:$B$50,2,FALSE()),0))</f>
        <v>50</v>
      </c>
      <c r="K15" s="17">
        <v>50</v>
      </c>
      <c r="L15" s="12">
        <f t="shared" si="1"/>
        <v>0</v>
      </c>
    </row>
    <row r="16" spans="1:12" ht="19.5" customHeight="1">
      <c r="A16" s="8" t="str">
        <f t="shared" si="0"/>
        <v>RND-1009</v>
      </c>
      <c r="B16" s="9">
        <v>46287</v>
      </c>
      <c r="C16" s="10">
        <v>0.60416666666666663</v>
      </c>
      <c r="D16" s="11" t="s">
        <v>45</v>
      </c>
      <c r="E16" s="11"/>
      <c r="F16" s="11"/>
      <c r="G16" s="11"/>
      <c r="H16" s="8"/>
      <c r="I16" s="8"/>
      <c r="J16" s="12" t="str">
        <f>IF(F16="","",IFERROR(VLOOKUP(F16,Ρυθμίσεις!$A$4:$B$50,2,FALSE()),0))</f>
        <v/>
      </c>
      <c r="K16" s="12"/>
      <c r="L16" s="12" t="e">
        <f t="shared" si="1"/>
        <v>#VALUE!</v>
      </c>
    </row>
    <row r="17" spans="1:12" ht="19.5" customHeight="1">
      <c r="A17" s="13" t="str">
        <f t="shared" si="0"/>
        <v/>
      </c>
      <c r="B17" s="14"/>
      <c r="C17" s="15"/>
      <c r="D17" s="16"/>
      <c r="E17" s="16"/>
      <c r="F17" s="16"/>
      <c r="G17" s="16"/>
      <c r="H17" s="13"/>
      <c r="I17" s="13"/>
      <c r="J17" s="17" t="str">
        <f>IF(F17="","",IFERROR(VLOOKUP(F17,Ρυθμίσεις!$A$4:$B$50,2,FALSE()),0))</f>
        <v/>
      </c>
      <c r="K17" s="17"/>
      <c r="L17" s="12" t="str">
        <f t="shared" si="1"/>
        <v/>
      </c>
    </row>
    <row r="18" spans="1:12" ht="19.5" customHeight="1">
      <c r="A18" s="8" t="str">
        <f t="shared" si="0"/>
        <v/>
      </c>
      <c r="B18" s="9"/>
      <c r="C18" s="10"/>
      <c r="D18" s="11"/>
      <c r="E18" s="11"/>
      <c r="F18" s="11"/>
      <c r="G18" s="11"/>
      <c r="H18" s="8"/>
      <c r="I18" s="8"/>
      <c r="J18" s="12" t="str">
        <f>IF(F18="","",IFERROR(VLOOKUP(F18,Ρυθμίσεις!$A$4:$B$50,2,FALSE()),0))</f>
        <v/>
      </c>
      <c r="K18" s="12"/>
      <c r="L18" s="12" t="str">
        <f t="shared" si="1"/>
        <v/>
      </c>
    </row>
    <row r="19" spans="1:12" ht="19.5" customHeight="1">
      <c r="A19" s="13" t="str">
        <f t="shared" si="0"/>
        <v/>
      </c>
      <c r="B19" s="14"/>
      <c r="C19" s="15"/>
      <c r="D19" s="16"/>
      <c r="E19" s="16"/>
      <c r="F19" s="16"/>
      <c r="G19" s="16"/>
      <c r="H19" s="13"/>
      <c r="I19" s="13"/>
      <c r="J19" s="17" t="str">
        <f>IF(F19="","",IFERROR(VLOOKUP(F19,Ρυθμίσεις!$A$4:$B$50,2,FALSE()),0))</f>
        <v/>
      </c>
      <c r="K19" s="17"/>
      <c r="L19" s="12" t="str">
        <f t="shared" si="1"/>
        <v/>
      </c>
    </row>
    <row r="20" spans="1:12" ht="19.5" customHeight="1">
      <c r="A20" s="8" t="str">
        <f t="shared" si="0"/>
        <v/>
      </c>
      <c r="B20" s="9"/>
      <c r="C20" s="10"/>
      <c r="D20" s="11"/>
      <c r="E20" s="11"/>
      <c r="F20" s="11"/>
      <c r="G20" s="11"/>
      <c r="H20" s="8"/>
      <c r="I20" s="8"/>
      <c r="J20" s="12" t="str">
        <f>IF(F20="","",IFERROR(VLOOKUP(F20,Ρυθμίσεις!$A$4:$B$50,2,FALSE()),0))</f>
        <v/>
      </c>
      <c r="K20" s="12"/>
      <c r="L20" s="12" t="str">
        <f t="shared" si="1"/>
        <v/>
      </c>
    </row>
    <row r="21" spans="1:12" ht="19.5" customHeight="1">
      <c r="A21" s="13" t="str">
        <f t="shared" si="0"/>
        <v/>
      </c>
      <c r="B21" s="14"/>
      <c r="C21" s="15"/>
      <c r="D21" s="16"/>
      <c r="E21" s="16"/>
      <c r="F21" s="16"/>
      <c r="G21" s="16"/>
      <c r="H21" s="13"/>
      <c r="I21" s="13"/>
      <c r="J21" s="17" t="str">
        <f>IF(F21="","",IFERROR(VLOOKUP(F21,Ρυθμίσεις!$A$4:$B$50,2,FALSE()),0))</f>
        <v/>
      </c>
      <c r="K21" s="17"/>
      <c r="L21" s="12" t="str">
        <f t="shared" si="1"/>
        <v/>
      </c>
    </row>
    <row r="22" spans="1:12" ht="19.5" customHeight="1">
      <c r="A22" s="8" t="str">
        <f t="shared" si="0"/>
        <v/>
      </c>
      <c r="B22" s="9"/>
      <c r="C22" s="10"/>
      <c r="D22" s="11"/>
      <c r="E22" s="11"/>
      <c r="F22" s="11"/>
      <c r="G22" s="11"/>
      <c r="H22" s="8"/>
      <c r="I22" s="8"/>
      <c r="J22" s="12" t="str">
        <f>IF(F22="","",IFERROR(VLOOKUP(F22,Ρυθμίσεις!$A$4:$B$50,2,FALSE()),0))</f>
        <v/>
      </c>
      <c r="K22" s="12"/>
      <c r="L22" s="12" t="str">
        <f t="shared" si="1"/>
        <v/>
      </c>
    </row>
    <row r="23" spans="1:12" ht="19.5" customHeight="1">
      <c r="A23" s="13" t="str">
        <f t="shared" si="0"/>
        <v/>
      </c>
      <c r="B23" s="14"/>
      <c r="C23" s="15"/>
      <c r="D23" s="16"/>
      <c r="E23" s="16"/>
      <c r="F23" s="16"/>
      <c r="G23" s="16"/>
      <c r="H23" s="13"/>
      <c r="I23" s="13"/>
      <c r="J23" s="17" t="str">
        <f>IF(F23="","",IFERROR(VLOOKUP(F23,Ρυθμίσεις!$A$4:$B$50,2,FALSE()),0))</f>
        <v/>
      </c>
      <c r="K23" s="17"/>
      <c r="L23" s="12" t="str">
        <f t="shared" si="1"/>
        <v/>
      </c>
    </row>
    <row r="24" spans="1:12" ht="19.5" customHeight="1">
      <c r="A24" s="8" t="str">
        <f t="shared" si="0"/>
        <v/>
      </c>
      <c r="B24" s="9"/>
      <c r="C24" s="10"/>
      <c r="D24" s="11"/>
      <c r="E24" s="11"/>
      <c r="F24" s="11"/>
      <c r="G24" s="11"/>
      <c r="H24" s="8"/>
      <c r="I24" s="8"/>
      <c r="J24" s="12" t="str">
        <f>IF(F24="","",IFERROR(VLOOKUP(F24,Ρυθμίσεις!$A$4:$B$50,2,FALSE()),0))</f>
        <v/>
      </c>
      <c r="K24" s="12"/>
      <c r="L24" s="12" t="str">
        <f t="shared" si="1"/>
        <v/>
      </c>
    </row>
    <row r="25" spans="1:12" ht="19.5" customHeight="1">
      <c r="A25" s="13" t="str">
        <f t="shared" si="0"/>
        <v/>
      </c>
      <c r="B25" s="14"/>
      <c r="C25" s="15"/>
      <c r="D25" s="16"/>
      <c r="E25" s="16"/>
      <c r="F25" s="16"/>
      <c r="G25" s="16"/>
      <c r="H25" s="13"/>
      <c r="I25" s="13"/>
      <c r="J25" s="17" t="str">
        <f>IF(F25="","",IFERROR(VLOOKUP(F25,Ρυθμίσεις!$A$4:$B$50,2,FALSE()),0))</f>
        <v/>
      </c>
      <c r="K25" s="17"/>
      <c r="L25" s="12" t="str">
        <f t="shared" si="1"/>
        <v/>
      </c>
    </row>
    <row r="26" spans="1:12" ht="19.5" customHeight="1">
      <c r="A26" s="8" t="str">
        <f t="shared" si="0"/>
        <v/>
      </c>
      <c r="B26" s="9"/>
      <c r="C26" s="10"/>
      <c r="D26" s="11"/>
      <c r="E26" s="11"/>
      <c r="F26" s="11"/>
      <c r="G26" s="11"/>
      <c r="H26" s="8"/>
      <c r="I26" s="8"/>
      <c r="J26" s="12" t="str">
        <f>IF(F26="","",IFERROR(VLOOKUP(F26,Ρυθμίσεις!$A$4:$B$50,2,FALSE()),0))</f>
        <v/>
      </c>
      <c r="K26" s="12"/>
      <c r="L26" s="12" t="str">
        <f t="shared" si="1"/>
        <v/>
      </c>
    </row>
    <row r="27" spans="1:12" ht="19.5" customHeight="1">
      <c r="A27" s="13" t="str">
        <f t="shared" si="0"/>
        <v/>
      </c>
      <c r="B27" s="14"/>
      <c r="C27" s="15"/>
      <c r="D27" s="16"/>
      <c r="E27" s="16"/>
      <c r="F27" s="16"/>
      <c r="G27" s="16"/>
      <c r="H27" s="13"/>
      <c r="I27" s="13"/>
      <c r="J27" s="17" t="str">
        <f>IF(F27="","",IFERROR(VLOOKUP(F27,Ρυθμίσεις!$A$4:$B$50,2,FALSE()),0))</f>
        <v/>
      </c>
      <c r="K27" s="17"/>
      <c r="L27" s="12" t="str">
        <f t="shared" si="1"/>
        <v/>
      </c>
    </row>
    <row r="28" spans="1:12" ht="19.5" customHeight="1">
      <c r="A28" s="8" t="str">
        <f t="shared" si="0"/>
        <v/>
      </c>
      <c r="B28" s="9"/>
      <c r="C28" s="10"/>
      <c r="D28" s="11"/>
      <c r="E28" s="11"/>
      <c r="F28" s="11"/>
      <c r="G28" s="11"/>
      <c r="H28" s="8"/>
      <c r="I28" s="8"/>
      <c r="J28" s="12" t="str">
        <f>IF(F28="","",IFERROR(VLOOKUP(F28,Ρυθμίσεις!$A$4:$B$50,2,FALSE()),0))</f>
        <v/>
      </c>
      <c r="K28" s="12"/>
      <c r="L28" s="12" t="str">
        <f t="shared" si="1"/>
        <v/>
      </c>
    </row>
    <row r="29" spans="1:12" ht="19.5" customHeight="1">
      <c r="A29" s="13" t="str">
        <f t="shared" si="0"/>
        <v/>
      </c>
      <c r="B29" s="14"/>
      <c r="C29" s="15"/>
      <c r="D29" s="16"/>
      <c r="E29" s="16"/>
      <c r="F29" s="16"/>
      <c r="G29" s="16"/>
      <c r="H29" s="13"/>
      <c r="I29" s="13"/>
      <c r="J29" s="17" t="str">
        <f>IF(F29="","",IFERROR(VLOOKUP(F29,Ρυθμίσεις!$A$4:$B$50,2,FALSE()),0))</f>
        <v/>
      </c>
      <c r="K29" s="17"/>
      <c r="L29" s="12" t="str">
        <f t="shared" si="1"/>
        <v/>
      </c>
    </row>
    <row r="30" spans="1:12" ht="19.5" customHeight="1">
      <c r="A30" s="8" t="str">
        <f t="shared" si="0"/>
        <v/>
      </c>
      <c r="B30" s="9"/>
      <c r="C30" s="10"/>
      <c r="D30" s="11"/>
      <c r="E30" s="11"/>
      <c r="F30" s="11"/>
      <c r="G30" s="11"/>
      <c r="H30" s="8"/>
      <c r="I30" s="8"/>
      <c r="J30" s="12" t="str">
        <f>IF(F30="","",IFERROR(VLOOKUP(F30,Ρυθμίσεις!$A$4:$B$50,2,FALSE()),0))</f>
        <v/>
      </c>
      <c r="K30" s="12"/>
      <c r="L30" s="12" t="str">
        <f t="shared" si="1"/>
        <v/>
      </c>
    </row>
    <row r="31" spans="1:12" ht="19.5" customHeight="1">
      <c r="A31" s="13" t="str">
        <f t="shared" si="0"/>
        <v/>
      </c>
      <c r="B31" s="14"/>
      <c r="C31" s="15"/>
      <c r="D31" s="16"/>
      <c r="E31" s="16"/>
      <c r="F31" s="16"/>
      <c r="G31" s="16"/>
      <c r="H31" s="13"/>
      <c r="I31" s="13"/>
      <c r="J31" s="17" t="str">
        <f>IF(F31="","",IFERROR(VLOOKUP(F31,Ρυθμίσεις!$A$4:$B$50,2,FALSE()),0))</f>
        <v/>
      </c>
      <c r="K31" s="17"/>
      <c r="L31" s="12" t="str">
        <f t="shared" si="1"/>
        <v/>
      </c>
    </row>
    <row r="32" spans="1:12" ht="19.5" customHeight="1">
      <c r="A32" s="8" t="str">
        <f t="shared" si="0"/>
        <v/>
      </c>
      <c r="B32" s="9"/>
      <c r="C32" s="10"/>
      <c r="D32" s="11"/>
      <c r="E32" s="11"/>
      <c r="F32" s="11"/>
      <c r="G32" s="11"/>
      <c r="H32" s="8"/>
      <c r="I32" s="8"/>
      <c r="J32" s="12" t="str">
        <f>IF(F32="","",IFERROR(VLOOKUP(F32,Ρυθμίσεις!$A$4:$B$50,2,FALSE()),0))</f>
        <v/>
      </c>
      <c r="K32" s="12"/>
      <c r="L32" s="12" t="str">
        <f t="shared" si="1"/>
        <v/>
      </c>
    </row>
    <row r="33" spans="1:12" ht="19.5" customHeight="1">
      <c r="A33" s="13" t="str">
        <f t="shared" si="0"/>
        <v/>
      </c>
      <c r="B33" s="14"/>
      <c r="C33" s="15"/>
      <c r="D33" s="16"/>
      <c r="E33" s="16"/>
      <c r="F33" s="16"/>
      <c r="G33" s="16"/>
      <c r="H33" s="13"/>
      <c r="I33" s="13"/>
      <c r="J33" s="17" t="str">
        <f>IF(F33="","",IFERROR(VLOOKUP(F33,Ρυθμίσεις!$A$4:$B$50,2,FALSE()),0))</f>
        <v/>
      </c>
      <c r="K33" s="17"/>
      <c r="L33" s="12" t="str">
        <f t="shared" si="1"/>
        <v/>
      </c>
    </row>
    <row r="34" spans="1:12" ht="19.5" customHeight="1">
      <c r="A34" s="8" t="str">
        <f t="shared" si="0"/>
        <v/>
      </c>
      <c r="B34" s="9"/>
      <c r="C34" s="10"/>
      <c r="D34" s="11"/>
      <c r="E34" s="11"/>
      <c r="F34" s="11"/>
      <c r="G34" s="11"/>
      <c r="H34" s="8"/>
      <c r="I34" s="8"/>
      <c r="J34" s="12" t="str">
        <f>IF(F34="","",IFERROR(VLOOKUP(F34,Ρυθμίσεις!$A$4:$B$50,2,FALSE()),0))</f>
        <v/>
      </c>
      <c r="K34" s="12"/>
      <c r="L34" s="12" t="str">
        <f t="shared" si="1"/>
        <v/>
      </c>
    </row>
    <row r="35" spans="1:12" ht="19.5" customHeight="1">
      <c r="A35" s="13" t="str">
        <f t="shared" si="0"/>
        <v/>
      </c>
      <c r="B35" s="14"/>
      <c r="C35" s="15"/>
      <c r="D35" s="16"/>
      <c r="E35" s="16"/>
      <c r="F35" s="16"/>
      <c r="G35" s="16"/>
      <c r="H35" s="13"/>
      <c r="I35" s="13"/>
      <c r="J35" s="17" t="str">
        <f>IF(F35="","",IFERROR(VLOOKUP(F35,Ρυθμίσεις!$A$4:$B$50,2,FALSE()),0))</f>
        <v/>
      </c>
      <c r="K35" s="17"/>
      <c r="L35" s="12" t="str">
        <f t="shared" si="1"/>
        <v/>
      </c>
    </row>
    <row r="36" spans="1:12" ht="19.5" customHeight="1">
      <c r="A36" s="8" t="str">
        <f t="shared" si="0"/>
        <v/>
      </c>
      <c r="B36" s="9"/>
      <c r="C36" s="10"/>
      <c r="D36" s="11"/>
      <c r="E36" s="11"/>
      <c r="F36" s="11"/>
      <c r="G36" s="11"/>
      <c r="H36" s="8"/>
      <c r="I36" s="8"/>
      <c r="J36" s="12" t="str">
        <f>IF(F36="","",IFERROR(VLOOKUP(F36,Ρυθμίσεις!$A$4:$B$50,2,FALSE()),0))</f>
        <v/>
      </c>
      <c r="K36" s="12"/>
      <c r="L36" s="12" t="str">
        <f t="shared" si="1"/>
        <v/>
      </c>
    </row>
    <row r="37" spans="1:12" ht="19.5" customHeight="1">
      <c r="A37" s="13" t="str">
        <f t="shared" si="0"/>
        <v/>
      </c>
      <c r="B37" s="14"/>
      <c r="C37" s="15"/>
      <c r="D37" s="16"/>
      <c r="E37" s="16"/>
      <c r="F37" s="16"/>
      <c r="G37" s="16"/>
      <c r="H37" s="13"/>
      <c r="I37" s="13"/>
      <c r="J37" s="17" t="str">
        <f>IF(F37="","",IFERROR(VLOOKUP(F37,Ρυθμίσεις!$A$4:$B$50,2,FALSE()),0))</f>
        <v/>
      </c>
      <c r="K37" s="17"/>
      <c r="L37" s="12" t="str">
        <f t="shared" si="1"/>
        <v/>
      </c>
    </row>
    <row r="38" spans="1:12" ht="19.5" customHeight="1">
      <c r="A38" s="8" t="str">
        <f t="shared" si="0"/>
        <v/>
      </c>
      <c r="B38" s="9"/>
      <c r="C38" s="10"/>
      <c r="D38" s="11"/>
      <c r="E38" s="11"/>
      <c r="F38" s="11"/>
      <c r="G38" s="11"/>
      <c r="H38" s="8"/>
      <c r="I38" s="8"/>
      <c r="J38" s="12" t="str">
        <f>IF(F38="","",IFERROR(VLOOKUP(F38,Ρυθμίσεις!$A$4:$B$50,2,FALSE()),0))</f>
        <v/>
      </c>
      <c r="K38" s="12"/>
      <c r="L38" s="12" t="str">
        <f t="shared" si="1"/>
        <v/>
      </c>
    </row>
    <row r="39" spans="1:12" ht="19.5" customHeight="1">
      <c r="A39" s="13" t="str">
        <f t="shared" si="0"/>
        <v/>
      </c>
      <c r="B39" s="14"/>
      <c r="C39" s="15"/>
      <c r="D39" s="16"/>
      <c r="E39" s="16"/>
      <c r="F39" s="16"/>
      <c r="G39" s="16"/>
      <c r="H39" s="13"/>
      <c r="I39" s="13"/>
      <c r="J39" s="17" t="str">
        <f>IF(F39="","",IFERROR(VLOOKUP(F39,Ρυθμίσεις!$A$4:$B$50,2,FALSE()),0))</f>
        <v/>
      </c>
      <c r="K39" s="17"/>
      <c r="L39" s="12" t="str">
        <f t="shared" si="1"/>
        <v/>
      </c>
    </row>
    <row r="40" spans="1:12" ht="19.5" customHeight="1">
      <c r="A40" s="8" t="str">
        <f t="shared" ref="A40:A71" si="2">IF(D40="","", "RND-" &amp; TEXT(1000 + ROW() - 7, "0000"))</f>
        <v/>
      </c>
      <c r="B40" s="9"/>
      <c r="C40" s="10"/>
      <c r="D40" s="11"/>
      <c r="E40" s="11"/>
      <c r="F40" s="11"/>
      <c r="G40" s="11"/>
      <c r="H40" s="8"/>
      <c r="I40" s="8"/>
      <c r="J40" s="12" t="str">
        <f>IF(F40="","",IFERROR(VLOOKUP(F40,Ρυθμίσεις!$A$4:$B$50,2,FALSE()),0))</f>
        <v/>
      </c>
      <c r="K40" s="12"/>
      <c r="L40" s="12" t="str">
        <f t="shared" ref="L40:L71" si="3">IF(D40="","",J40-K40)</f>
        <v/>
      </c>
    </row>
    <row r="41" spans="1:12" ht="19.5" customHeight="1">
      <c r="A41" s="13" t="str">
        <f t="shared" si="2"/>
        <v/>
      </c>
      <c r="B41" s="14"/>
      <c r="C41" s="15"/>
      <c r="D41" s="16"/>
      <c r="E41" s="16"/>
      <c r="F41" s="16"/>
      <c r="G41" s="16"/>
      <c r="H41" s="13"/>
      <c r="I41" s="13"/>
      <c r="J41" s="17" t="str">
        <f>IF(F41="","",IFERROR(VLOOKUP(F41,Ρυθμίσεις!$A$4:$B$50,2,FALSE()),0))</f>
        <v/>
      </c>
      <c r="K41" s="17"/>
      <c r="L41" s="12" t="str">
        <f t="shared" si="3"/>
        <v/>
      </c>
    </row>
    <row r="42" spans="1:12" ht="19.5" customHeight="1">
      <c r="A42" s="8" t="str">
        <f t="shared" si="2"/>
        <v/>
      </c>
      <c r="B42" s="9"/>
      <c r="C42" s="10"/>
      <c r="D42" s="11"/>
      <c r="E42" s="11"/>
      <c r="F42" s="11"/>
      <c r="G42" s="11"/>
      <c r="H42" s="8"/>
      <c r="I42" s="8"/>
      <c r="J42" s="12" t="str">
        <f>IF(F42="","",IFERROR(VLOOKUP(F42,Ρυθμίσεις!$A$4:$B$50,2,FALSE()),0))</f>
        <v/>
      </c>
      <c r="K42" s="12"/>
      <c r="L42" s="12" t="str">
        <f t="shared" si="3"/>
        <v/>
      </c>
    </row>
    <row r="43" spans="1:12" ht="19.5" customHeight="1">
      <c r="A43" s="13" t="str">
        <f t="shared" si="2"/>
        <v/>
      </c>
      <c r="B43" s="14"/>
      <c r="C43" s="15"/>
      <c r="D43" s="16"/>
      <c r="E43" s="16"/>
      <c r="F43" s="16"/>
      <c r="G43" s="16"/>
      <c r="H43" s="13"/>
      <c r="I43" s="13"/>
      <c r="J43" s="17" t="str">
        <f>IF(F43="","",IFERROR(VLOOKUP(F43,Ρυθμίσεις!$A$4:$B$50,2,FALSE()),0))</f>
        <v/>
      </c>
      <c r="K43" s="17"/>
      <c r="L43" s="12" t="str">
        <f t="shared" si="3"/>
        <v/>
      </c>
    </row>
    <row r="44" spans="1:12" ht="19.5" customHeight="1">
      <c r="A44" s="8" t="str">
        <f t="shared" si="2"/>
        <v/>
      </c>
      <c r="B44" s="9"/>
      <c r="C44" s="10"/>
      <c r="D44" s="11"/>
      <c r="E44" s="11"/>
      <c r="F44" s="11"/>
      <c r="G44" s="11"/>
      <c r="H44" s="8"/>
      <c r="I44" s="8"/>
      <c r="J44" s="12" t="str">
        <f>IF(F44="","",IFERROR(VLOOKUP(F44,Ρυθμίσεις!$A$4:$B$50,2,FALSE()),0))</f>
        <v/>
      </c>
      <c r="K44" s="12"/>
      <c r="L44" s="12" t="str">
        <f t="shared" si="3"/>
        <v/>
      </c>
    </row>
    <row r="45" spans="1:12" ht="19.5" customHeight="1">
      <c r="A45" s="13" t="str">
        <f t="shared" si="2"/>
        <v/>
      </c>
      <c r="B45" s="14"/>
      <c r="C45" s="15"/>
      <c r="D45" s="16"/>
      <c r="E45" s="16"/>
      <c r="F45" s="16"/>
      <c r="G45" s="16"/>
      <c r="H45" s="13"/>
      <c r="I45" s="13"/>
      <c r="J45" s="17" t="str">
        <f>IF(F45="","",IFERROR(VLOOKUP(F45,Ρυθμίσεις!$A$4:$B$50,2,FALSE()),0))</f>
        <v/>
      </c>
      <c r="K45" s="17"/>
      <c r="L45" s="12" t="str">
        <f t="shared" si="3"/>
        <v/>
      </c>
    </row>
    <row r="46" spans="1:12" ht="19.5" customHeight="1">
      <c r="A46" s="8" t="str">
        <f t="shared" si="2"/>
        <v/>
      </c>
      <c r="B46" s="9"/>
      <c r="C46" s="10"/>
      <c r="D46" s="11"/>
      <c r="E46" s="11"/>
      <c r="F46" s="11"/>
      <c r="G46" s="11"/>
      <c r="H46" s="8"/>
      <c r="I46" s="8"/>
      <c r="J46" s="12" t="str">
        <f>IF(F46="","",IFERROR(VLOOKUP(F46,Ρυθμίσεις!$A$4:$B$50,2,FALSE()),0))</f>
        <v/>
      </c>
      <c r="K46" s="12"/>
      <c r="L46" s="12" t="str">
        <f t="shared" si="3"/>
        <v/>
      </c>
    </row>
    <row r="47" spans="1:12" ht="19.5" customHeight="1">
      <c r="A47" s="13" t="str">
        <f t="shared" si="2"/>
        <v/>
      </c>
      <c r="B47" s="14"/>
      <c r="C47" s="15"/>
      <c r="D47" s="16"/>
      <c r="E47" s="16"/>
      <c r="F47" s="16"/>
      <c r="G47" s="16"/>
      <c r="H47" s="13"/>
      <c r="I47" s="13"/>
      <c r="J47" s="17" t="str">
        <f>IF(F47="","",IFERROR(VLOOKUP(F47,Ρυθμίσεις!$A$4:$B$50,2,FALSE()),0))</f>
        <v/>
      </c>
      <c r="K47" s="17"/>
      <c r="L47" s="12" t="str">
        <f t="shared" si="3"/>
        <v/>
      </c>
    </row>
    <row r="48" spans="1:12" ht="19.5" customHeight="1">
      <c r="A48" s="8" t="str">
        <f t="shared" si="2"/>
        <v/>
      </c>
      <c r="B48" s="9"/>
      <c r="C48" s="10"/>
      <c r="D48" s="11"/>
      <c r="E48" s="11"/>
      <c r="F48" s="11"/>
      <c r="G48" s="11"/>
      <c r="H48" s="8"/>
      <c r="I48" s="8"/>
      <c r="J48" s="12" t="str">
        <f>IF(F48="","",IFERROR(VLOOKUP(F48,Ρυθμίσεις!$A$4:$B$50,2,FALSE()),0))</f>
        <v/>
      </c>
      <c r="K48" s="12"/>
      <c r="L48" s="12" t="str">
        <f t="shared" si="3"/>
        <v/>
      </c>
    </row>
    <row r="49" spans="1:12" ht="19.5" customHeight="1">
      <c r="A49" s="13" t="str">
        <f t="shared" si="2"/>
        <v/>
      </c>
      <c r="B49" s="14"/>
      <c r="C49" s="15"/>
      <c r="D49" s="16"/>
      <c r="E49" s="16"/>
      <c r="F49" s="16"/>
      <c r="G49" s="16"/>
      <c r="H49" s="13"/>
      <c r="I49" s="13"/>
      <c r="J49" s="17" t="str">
        <f>IF(F49="","",IFERROR(VLOOKUP(F49,Ρυθμίσεις!$A$4:$B$50,2,FALSE()),0))</f>
        <v/>
      </c>
      <c r="K49" s="17"/>
      <c r="L49" s="12" t="str">
        <f t="shared" si="3"/>
        <v/>
      </c>
    </row>
    <row r="50" spans="1:12" ht="19.5" customHeight="1">
      <c r="A50" s="8" t="str">
        <f t="shared" si="2"/>
        <v/>
      </c>
      <c r="B50" s="9"/>
      <c r="C50" s="10"/>
      <c r="D50" s="11"/>
      <c r="E50" s="11"/>
      <c r="F50" s="11"/>
      <c r="G50" s="11"/>
      <c r="H50" s="8"/>
      <c r="I50" s="8"/>
      <c r="J50" s="12" t="str">
        <f>IF(F50="","",IFERROR(VLOOKUP(F50,Ρυθμίσεις!$A$4:$B$50,2,FALSE()),0))</f>
        <v/>
      </c>
      <c r="K50" s="12"/>
      <c r="L50" s="12" t="str">
        <f t="shared" si="3"/>
        <v/>
      </c>
    </row>
    <row r="51" spans="1:12" ht="19.5" customHeight="1">
      <c r="A51" s="13" t="str">
        <f t="shared" si="2"/>
        <v/>
      </c>
      <c r="B51" s="14"/>
      <c r="C51" s="15"/>
      <c r="D51" s="16"/>
      <c r="E51" s="16"/>
      <c r="F51" s="16"/>
      <c r="G51" s="16"/>
      <c r="H51" s="13"/>
      <c r="I51" s="13"/>
      <c r="J51" s="17" t="str">
        <f>IF(F51="","",IFERROR(VLOOKUP(F51,Ρυθμίσεις!$A$4:$B$50,2,FALSE()),0))</f>
        <v/>
      </c>
      <c r="K51" s="17"/>
      <c r="L51" s="12" t="str">
        <f t="shared" si="3"/>
        <v/>
      </c>
    </row>
    <row r="52" spans="1:12" ht="19.5" customHeight="1">
      <c r="A52" s="8" t="str">
        <f t="shared" si="2"/>
        <v/>
      </c>
      <c r="B52" s="9"/>
      <c r="C52" s="10"/>
      <c r="D52" s="11"/>
      <c r="E52" s="11"/>
      <c r="F52" s="11"/>
      <c r="G52" s="11"/>
      <c r="H52" s="8"/>
      <c r="I52" s="8"/>
      <c r="J52" s="12" t="str">
        <f>IF(F52="","",IFERROR(VLOOKUP(F52,Ρυθμίσεις!$A$4:$B$50,2,FALSE()),0))</f>
        <v/>
      </c>
      <c r="K52" s="12"/>
      <c r="L52" s="12" t="str">
        <f t="shared" si="3"/>
        <v/>
      </c>
    </row>
    <row r="53" spans="1:12" ht="19.5" customHeight="1">
      <c r="A53" s="13" t="str">
        <f t="shared" si="2"/>
        <v/>
      </c>
      <c r="B53" s="14"/>
      <c r="C53" s="15"/>
      <c r="D53" s="16"/>
      <c r="E53" s="16"/>
      <c r="F53" s="16"/>
      <c r="G53" s="16"/>
      <c r="H53" s="13"/>
      <c r="I53" s="13"/>
      <c r="J53" s="17" t="str">
        <f>IF(F53="","",IFERROR(VLOOKUP(F53,Ρυθμίσεις!$A$4:$B$50,2,FALSE()),0))</f>
        <v/>
      </c>
      <c r="K53" s="17"/>
      <c r="L53" s="12" t="str">
        <f t="shared" si="3"/>
        <v/>
      </c>
    </row>
    <row r="54" spans="1:12" ht="19.5" customHeight="1">
      <c r="A54" s="8" t="str">
        <f t="shared" si="2"/>
        <v/>
      </c>
      <c r="B54" s="9"/>
      <c r="C54" s="10"/>
      <c r="D54" s="11"/>
      <c r="E54" s="11"/>
      <c r="F54" s="11"/>
      <c r="G54" s="11"/>
      <c r="H54" s="8"/>
      <c r="I54" s="8"/>
      <c r="J54" s="12" t="str">
        <f>IF(F54="","",IFERROR(VLOOKUP(F54,Ρυθμίσεις!$A$4:$B$50,2,FALSE()),0))</f>
        <v/>
      </c>
      <c r="K54" s="12"/>
      <c r="L54" s="12" t="str">
        <f t="shared" si="3"/>
        <v/>
      </c>
    </row>
    <row r="55" spans="1:12" ht="19.5" customHeight="1">
      <c r="A55" s="13" t="str">
        <f t="shared" si="2"/>
        <v/>
      </c>
      <c r="B55" s="14"/>
      <c r="C55" s="15"/>
      <c r="D55" s="16"/>
      <c r="E55" s="16"/>
      <c r="F55" s="16"/>
      <c r="G55" s="16"/>
      <c r="H55" s="13"/>
      <c r="I55" s="13"/>
      <c r="J55" s="17" t="str">
        <f>IF(F55="","",IFERROR(VLOOKUP(F55,Ρυθμίσεις!$A$4:$B$50,2,FALSE()),0))</f>
        <v/>
      </c>
      <c r="K55" s="17"/>
      <c r="L55" s="12" t="str">
        <f t="shared" si="3"/>
        <v/>
      </c>
    </row>
    <row r="56" spans="1:12" ht="19.5" customHeight="1">
      <c r="A56" s="8" t="str">
        <f t="shared" si="2"/>
        <v/>
      </c>
      <c r="B56" s="9"/>
      <c r="C56" s="10"/>
      <c r="D56" s="11"/>
      <c r="E56" s="11"/>
      <c r="F56" s="11"/>
      <c r="G56" s="11"/>
      <c r="H56" s="8"/>
      <c r="I56" s="8"/>
      <c r="J56" s="12" t="str">
        <f>IF(F56="","",IFERROR(VLOOKUP(F56,Ρυθμίσεις!$A$4:$B$50,2,FALSE()),0))</f>
        <v/>
      </c>
      <c r="K56" s="12"/>
      <c r="L56" s="12" t="str">
        <f t="shared" si="3"/>
        <v/>
      </c>
    </row>
    <row r="57" spans="1:12" ht="19.5" customHeight="1">
      <c r="A57" s="13" t="str">
        <f t="shared" si="2"/>
        <v/>
      </c>
      <c r="B57" s="14"/>
      <c r="C57" s="15"/>
      <c r="D57" s="16"/>
      <c r="E57" s="16"/>
      <c r="F57" s="16"/>
      <c r="G57" s="16"/>
      <c r="H57" s="13"/>
      <c r="I57" s="13"/>
      <c r="J57" s="17" t="str">
        <f>IF(F57="","",IFERROR(VLOOKUP(F57,Ρυθμίσεις!$A$4:$B$50,2,FALSE()),0))</f>
        <v/>
      </c>
      <c r="K57" s="17"/>
      <c r="L57" s="12" t="str">
        <f t="shared" si="3"/>
        <v/>
      </c>
    </row>
    <row r="58" spans="1:12" ht="19.5" customHeight="1">
      <c r="A58" s="8" t="str">
        <f t="shared" si="2"/>
        <v/>
      </c>
      <c r="B58" s="9"/>
      <c r="C58" s="10"/>
      <c r="D58" s="11"/>
      <c r="E58" s="11"/>
      <c r="F58" s="11"/>
      <c r="G58" s="11"/>
      <c r="H58" s="8"/>
      <c r="I58" s="8"/>
      <c r="J58" s="12" t="str">
        <f>IF(F58="","",IFERROR(VLOOKUP(F58,Ρυθμίσεις!$A$4:$B$50,2,FALSE()),0))</f>
        <v/>
      </c>
      <c r="K58" s="12"/>
      <c r="L58" s="12" t="str">
        <f t="shared" si="3"/>
        <v/>
      </c>
    </row>
    <row r="59" spans="1:12" ht="19.5" customHeight="1">
      <c r="A59" s="13" t="str">
        <f t="shared" si="2"/>
        <v/>
      </c>
      <c r="B59" s="14"/>
      <c r="C59" s="15"/>
      <c r="D59" s="16"/>
      <c r="E59" s="16"/>
      <c r="F59" s="16"/>
      <c r="G59" s="16"/>
      <c r="H59" s="13"/>
      <c r="I59" s="13"/>
      <c r="J59" s="17" t="str">
        <f>IF(F59="","",IFERROR(VLOOKUP(F59,Ρυθμίσεις!$A$4:$B$50,2,FALSE()),0))</f>
        <v/>
      </c>
      <c r="K59" s="17"/>
      <c r="L59" s="12" t="str">
        <f t="shared" si="3"/>
        <v/>
      </c>
    </row>
    <row r="60" spans="1:12" ht="19.5" customHeight="1">
      <c r="A60" s="8" t="str">
        <f t="shared" si="2"/>
        <v/>
      </c>
      <c r="B60" s="9"/>
      <c r="C60" s="10"/>
      <c r="D60" s="11"/>
      <c r="E60" s="11"/>
      <c r="F60" s="11"/>
      <c r="G60" s="11"/>
      <c r="H60" s="8"/>
      <c r="I60" s="8"/>
      <c r="J60" s="12" t="str">
        <f>IF(F60="","",IFERROR(VLOOKUP(F60,Ρυθμίσεις!$A$4:$B$50,2,FALSE()),0))</f>
        <v/>
      </c>
      <c r="K60" s="12"/>
      <c r="L60" s="12" t="str">
        <f t="shared" si="3"/>
        <v/>
      </c>
    </row>
    <row r="61" spans="1:12" ht="19.5" customHeight="1">
      <c r="A61" s="13" t="str">
        <f t="shared" si="2"/>
        <v/>
      </c>
      <c r="B61" s="14"/>
      <c r="C61" s="15"/>
      <c r="D61" s="16"/>
      <c r="E61" s="16"/>
      <c r="F61" s="16"/>
      <c r="G61" s="16"/>
      <c r="H61" s="13"/>
      <c r="I61" s="13"/>
      <c r="J61" s="17" t="str">
        <f>IF(F61="","",IFERROR(VLOOKUP(F61,Ρυθμίσεις!$A$4:$B$50,2,FALSE()),0))</f>
        <v/>
      </c>
      <c r="K61" s="17"/>
      <c r="L61" s="12" t="str">
        <f t="shared" si="3"/>
        <v/>
      </c>
    </row>
    <row r="62" spans="1:12" ht="19.5" customHeight="1">
      <c r="A62" s="8" t="str">
        <f t="shared" si="2"/>
        <v/>
      </c>
      <c r="B62" s="9"/>
      <c r="C62" s="10"/>
      <c r="D62" s="11"/>
      <c r="E62" s="11"/>
      <c r="F62" s="11"/>
      <c r="G62" s="11"/>
      <c r="H62" s="8"/>
      <c r="I62" s="8"/>
      <c r="J62" s="12" t="str">
        <f>IF(F62="","",IFERROR(VLOOKUP(F62,Ρυθμίσεις!$A$4:$B$50,2,FALSE()),0))</f>
        <v/>
      </c>
      <c r="K62" s="12"/>
      <c r="L62" s="12" t="str">
        <f t="shared" si="3"/>
        <v/>
      </c>
    </row>
    <row r="63" spans="1:12" ht="19.5" customHeight="1">
      <c r="A63" s="13" t="str">
        <f t="shared" si="2"/>
        <v/>
      </c>
      <c r="B63" s="14"/>
      <c r="C63" s="15"/>
      <c r="D63" s="16"/>
      <c r="E63" s="16"/>
      <c r="F63" s="16"/>
      <c r="G63" s="16"/>
      <c r="H63" s="13"/>
      <c r="I63" s="13"/>
      <c r="J63" s="17" t="str">
        <f>IF(F63="","",IFERROR(VLOOKUP(F63,Ρυθμίσεις!$A$4:$B$50,2,FALSE()),0))</f>
        <v/>
      </c>
      <c r="K63" s="17"/>
      <c r="L63" s="12" t="str">
        <f t="shared" si="3"/>
        <v/>
      </c>
    </row>
    <row r="64" spans="1:12" ht="19.5" customHeight="1">
      <c r="A64" s="8" t="str">
        <f t="shared" si="2"/>
        <v/>
      </c>
      <c r="B64" s="9"/>
      <c r="C64" s="10"/>
      <c r="D64" s="11"/>
      <c r="E64" s="11"/>
      <c r="F64" s="11"/>
      <c r="G64" s="11"/>
      <c r="H64" s="8"/>
      <c r="I64" s="8"/>
      <c r="J64" s="12" t="str">
        <f>IF(F64="","",IFERROR(VLOOKUP(F64,Ρυθμίσεις!$A$4:$B$50,2,FALSE()),0))</f>
        <v/>
      </c>
      <c r="K64" s="12"/>
      <c r="L64" s="12" t="str">
        <f t="shared" si="3"/>
        <v/>
      </c>
    </row>
    <row r="65" spans="1:12" ht="19.5" customHeight="1">
      <c r="A65" s="13" t="str">
        <f t="shared" si="2"/>
        <v/>
      </c>
      <c r="B65" s="14"/>
      <c r="C65" s="15"/>
      <c r="D65" s="16"/>
      <c r="E65" s="16"/>
      <c r="F65" s="16"/>
      <c r="G65" s="16"/>
      <c r="H65" s="13"/>
      <c r="I65" s="13"/>
      <c r="J65" s="17" t="str">
        <f>IF(F65="","",IFERROR(VLOOKUP(F65,Ρυθμίσεις!$A$4:$B$50,2,FALSE()),0))</f>
        <v/>
      </c>
      <c r="K65" s="17"/>
      <c r="L65" s="12" t="str">
        <f t="shared" si="3"/>
        <v/>
      </c>
    </row>
    <row r="66" spans="1:12" ht="19.5" customHeight="1">
      <c r="A66" s="8" t="str">
        <f t="shared" si="2"/>
        <v/>
      </c>
      <c r="B66" s="9"/>
      <c r="C66" s="10"/>
      <c r="D66" s="11"/>
      <c r="E66" s="11"/>
      <c r="F66" s="11"/>
      <c r="G66" s="11"/>
      <c r="H66" s="8"/>
      <c r="I66" s="8"/>
      <c r="J66" s="12" t="str">
        <f>IF(F66="","",IFERROR(VLOOKUP(F66,Ρυθμίσεις!$A$4:$B$50,2,FALSE()),0))</f>
        <v/>
      </c>
      <c r="K66" s="12"/>
      <c r="L66" s="12" t="str">
        <f t="shared" si="3"/>
        <v/>
      </c>
    </row>
    <row r="67" spans="1:12" ht="19.5" customHeight="1">
      <c r="A67" s="13" t="str">
        <f t="shared" si="2"/>
        <v/>
      </c>
      <c r="B67" s="14"/>
      <c r="C67" s="15"/>
      <c r="D67" s="16"/>
      <c r="E67" s="16"/>
      <c r="F67" s="16"/>
      <c r="G67" s="16"/>
      <c r="H67" s="13"/>
      <c r="I67" s="13"/>
      <c r="J67" s="17" t="str">
        <f>IF(F67="","",IFERROR(VLOOKUP(F67,Ρυθμίσεις!$A$4:$B$50,2,FALSE()),0))</f>
        <v/>
      </c>
      <c r="K67" s="17"/>
      <c r="L67" s="12" t="str">
        <f t="shared" si="3"/>
        <v/>
      </c>
    </row>
    <row r="68" spans="1:12" ht="19.5" customHeight="1">
      <c r="A68" s="8" t="str">
        <f t="shared" si="2"/>
        <v/>
      </c>
      <c r="B68" s="9"/>
      <c r="C68" s="10"/>
      <c r="D68" s="11"/>
      <c r="E68" s="11"/>
      <c r="F68" s="11"/>
      <c r="G68" s="11"/>
      <c r="H68" s="8"/>
      <c r="I68" s="8"/>
      <c r="J68" s="12" t="str">
        <f>IF(F68="","",IFERROR(VLOOKUP(F68,Ρυθμίσεις!$A$4:$B$50,2,FALSE()),0))</f>
        <v/>
      </c>
      <c r="K68" s="12"/>
      <c r="L68" s="12" t="str">
        <f t="shared" si="3"/>
        <v/>
      </c>
    </row>
    <row r="69" spans="1:12" ht="19.5" customHeight="1">
      <c r="A69" s="13" t="str">
        <f t="shared" si="2"/>
        <v/>
      </c>
      <c r="B69" s="14"/>
      <c r="C69" s="15"/>
      <c r="D69" s="16"/>
      <c r="E69" s="16"/>
      <c r="F69" s="16"/>
      <c r="G69" s="16"/>
      <c r="H69" s="13"/>
      <c r="I69" s="13"/>
      <c r="J69" s="17" t="str">
        <f>IF(F69="","",IFERROR(VLOOKUP(F69,Ρυθμίσεις!$A$4:$B$50,2,FALSE()),0))</f>
        <v/>
      </c>
      <c r="K69" s="17"/>
      <c r="L69" s="12" t="str">
        <f t="shared" si="3"/>
        <v/>
      </c>
    </row>
    <row r="70" spans="1:12" ht="19.5" customHeight="1">
      <c r="A70" s="8" t="str">
        <f t="shared" si="2"/>
        <v/>
      </c>
      <c r="B70" s="9"/>
      <c r="C70" s="10"/>
      <c r="D70" s="11"/>
      <c r="E70" s="11"/>
      <c r="F70" s="11"/>
      <c r="G70" s="11"/>
      <c r="H70" s="8"/>
      <c r="I70" s="8"/>
      <c r="J70" s="12" t="str">
        <f>IF(F70="","",IFERROR(VLOOKUP(F70,Ρυθμίσεις!$A$4:$B$50,2,FALSE()),0))</f>
        <v/>
      </c>
      <c r="K70" s="12"/>
      <c r="L70" s="12" t="str">
        <f t="shared" si="3"/>
        <v/>
      </c>
    </row>
    <row r="71" spans="1:12" ht="19.5" customHeight="1">
      <c r="A71" s="13" t="str">
        <f t="shared" si="2"/>
        <v/>
      </c>
      <c r="B71" s="14"/>
      <c r="C71" s="15"/>
      <c r="D71" s="16"/>
      <c r="E71" s="16"/>
      <c r="F71" s="16"/>
      <c r="G71" s="16"/>
      <c r="H71" s="13"/>
      <c r="I71" s="13"/>
      <c r="J71" s="17" t="str">
        <f>IF(F71="","",IFERROR(VLOOKUP(F71,Ρυθμίσεις!$A$4:$B$50,2,FALSE()),0))</f>
        <v/>
      </c>
      <c r="K71" s="17"/>
      <c r="L71" s="12" t="str">
        <f t="shared" si="3"/>
        <v/>
      </c>
    </row>
    <row r="72" spans="1:12" ht="19.5" customHeight="1">
      <c r="A72" s="8" t="str">
        <f t="shared" ref="A72:A100" si="4">IF(D72="","", "RND-" &amp; TEXT(1000 + ROW() - 7, "0000"))</f>
        <v/>
      </c>
      <c r="B72" s="9"/>
      <c r="C72" s="10"/>
      <c r="D72" s="11"/>
      <c r="E72" s="11"/>
      <c r="F72" s="11"/>
      <c r="G72" s="11"/>
      <c r="H72" s="8"/>
      <c r="I72" s="8"/>
      <c r="J72" s="12" t="str">
        <f>IF(F72="","",IFERROR(VLOOKUP(F72,Ρυθμίσεις!$A$4:$B$50,2,FALSE()),0))</f>
        <v/>
      </c>
      <c r="K72" s="12"/>
      <c r="L72" s="12" t="str">
        <f t="shared" ref="L72:L103" si="5">IF(D72="","",J72-K72)</f>
        <v/>
      </c>
    </row>
    <row r="73" spans="1:12" ht="19.5" customHeight="1">
      <c r="A73" s="13" t="str">
        <f t="shared" si="4"/>
        <v/>
      </c>
      <c r="B73" s="14"/>
      <c r="C73" s="15"/>
      <c r="D73" s="16"/>
      <c r="E73" s="16"/>
      <c r="F73" s="16"/>
      <c r="G73" s="16"/>
      <c r="H73" s="13"/>
      <c r="I73" s="13"/>
      <c r="J73" s="17" t="str">
        <f>IF(F73="","",IFERROR(VLOOKUP(F73,Ρυθμίσεις!$A$4:$B$50,2,FALSE()),0))</f>
        <v/>
      </c>
      <c r="K73" s="17"/>
      <c r="L73" s="12" t="str">
        <f t="shared" si="5"/>
        <v/>
      </c>
    </row>
    <row r="74" spans="1:12" ht="19.5" customHeight="1">
      <c r="A74" s="8" t="str">
        <f t="shared" si="4"/>
        <v/>
      </c>
      <c r="B74" s="9"/>
      <c r="C74" s="10"/>
      <c r="D74" s="11"/>
      <c r="E74" s="11"/>
      <c r="F74" s="11"/>
      <c r="G74" s="11"/>
      <c r="H74" s="8"/>
      <c r="I74" s="8"/>
      <c r="J74" s="12" t="str">
        <f>IF(F74="","",IFERROR(VLOOKUP(F74,Ρυθμίσεις!$A$4:$B$50,2,FALSE()),0))</f>
        <v/>
      </c>
      <c r="K74" s="12"/>
      <c r="L74" s="12" t="str">
        <f t="shared" si="5"/>
        <v/>
      </c>
    </row>
    <row r="75" spans="1:12" ht="19.5" customHeight="1">
      <c r="A75" s="13" t="str">
        <f t="shared" si="4"/>
        <v/>
      </c>
      <c r="B75" s="14"/>
      <c r="C75" s="15"/>
      <c r="D75" s="16"/>
      <c r="E75" s="16"/>
      <c r="F75" s="16"/>
      <c r="G75" s="16"/>
      <c r="H75" s="13"/>
      <c r="I75" s="13"/>
      <c r="J75" s="17" t="str">
        <f>IF(F75="","",IFERROR(VLOOKUP(F75,Ρυθμίσεις!$A$4:$B$50,2,FALSE()),0))</f>
        <v/>
      </c>
      <c r="K75" s="17"/>
      <c r="L75" s="12" t="str">
        <f t="shared" si="5"/>
        <v/>
      </c>
    </row>
    <row r="76" spans="1:12" ht="19.5" customHeight="1">
      <c r="A76" s="8" t="str">
        <f t="shared" si="4"/>
        <v/>
      </c>
      <c r="B76" s="9"/>
      <c r="C76" s="10"/>
      <c r="D76" s="11"/>
      <c r="E76" s="11"/>
      <c r="F76" s="11"/>
      <c r="G76" s="11"/>
      <c r="H76" s="8"/>
      <c r="I76" s="8"/>
      <c r="J76" s="12" t="str">
        <f>IF(F76="","",IFERROR(VLOOKUP(F76,Ρυθμίσεις!$A$4:$B$50,2,FALSE()),0))</f>
        <v/>
      </c>
      <c r="K76" s="12"/>
      <c r="L76" s="12" t="str">
        <f t="shared" si="5"/>
        <v/>
      </c>
    </row>
    <row r="77" spans="1:12" ht="19.5" customHeight="1">
      <c r="A77" s="13" t="str">
        <f t="shared" si="4"/>
        <v/>
      </c>
      <c r="B77" s="14"/>
      <c r="C77" s="15"/>
      <c r="D77" s="16"/>
      <c r="E77" s="16"/>
      <c r="F77" s="16"/>
      <c r="G77" s="16"/>
      <c r="H77" s="13"/>
      <c r="I77" s="13"/>
      <c r="J77" s="17" t="str">
        <f>IF(F77="","",IFERROR(VLOOKUP(F77,Ρυθμίσεις!$A$4:$B$50,2,FALSE()),0))</f>
        <v/>
      </c>
      <c r="K77" s="17"/>
      <c r="L77" s="12" t="str">
        <f t="shared" si="5"/>
        <v/>
      </c>
    </row>
    <row r="78" spans="1:12" ht="19.5" customHeight="1">
      <c r="A78" s="8" t="str">
        <f t="shared" si="4"/>
        <v/>
      </c>
      <c r="B78" s="9"/>
      <c r="C78" s="10"/>
      <c r="D78" s="11"/>
      <c r="E78" s="11"/>
      <c r="F78" s="11"/>
      <c r="G78" s="11"/>
      <c r="H78" s="8"/>
      <c r="I78" s="8"/>
      <c r="J78" s="12" t="str">
        <f>IF(F78="","",IFERROR(VLOOKUP(F78,Ρυθμίσεις!$A$4:$B$50,2,FALSE()),0))</f>
        <v/>
      </c>
      <c r="K78" s="12"/>
      <c r="L78" s="12" t="str">
        <f t="shared" si="5"/>
        <v/>
      </c>
    </row>
    <row r="79" spans="1:12" ht="19.5" customHeight="1">
      <c r="A79" s="13" t="str">
        <f t="shared" si="4"/>
        <v/>
      </c>
      <c r="B79" s="14"/>
      <c r="C79" s="15"/>
      <c r="D79" s="16"/>
      <c r="E79" s="16"/>
      <c r="F79" s="16"/>
      <c r="G79" s="16"/>
      <c r="H79" s="13"/>
      <c r="I79" s="13"/>
      <c r="J79" s="17" t="str">
        <f>IF(F79="","",IFERROR(VLOOKUP(F79,Ρυθμίσεις!$A$4:$B$50,2,FALSE()),0))</f>
        <v/>
      </c>
      <c r="K79" s="17"/>
      <c r="L79" s="12" t="str">
        <f t="shared" si="5"/>
        <v/>
      </c>
    </row>
    <row r="80" spans="1:12" ht="19.5" customHeight="1">
      <c r="A80" s="8" t="str">
        <f t="shared" si="4"/>
        <v/>
      </c>
      <c r="B80" s="9"/>
      <c r="C80" s="10"/>
      <c r="D80" s="11"/>
      <c r="E80" s="11"/>
      <c r="F80" s="11"/>
      <c r="G80" s="11"/>
      <c r="H80" s="8"/>
      <c r="I80" s="8"/>
      <c r="J80" s="12" t="str">
        <f>IF(F80="","",IFERROR(VLOOKUP(F80,Ρυθμίσεις!$A$4:$B$50,2,FALSE()),0))</f>
        <v/>
      </c>
      <c r="K80" s="12"/>
      <c r="L80" s="12" t="str">
        <f t="shared" si="5"/>
        <v/>
      </c>
    </row>
    <row r="81" spans="1:12" ht="19.5" customHeight="1">
      <c r="A81" s="13" t="str">
        <f t="shared" si="4"/>
        <v/>
      </c>
      <c r="B81" s="14"/>
      <c r="C81" s="15"/>
      <c r="D81" s="16"/>
      <c r="E81" s="16"/>
      <c r="F81" s="16"/>
      <c r="G81" s="16"/>
      <c r="H81" s="13"/>
      <c r="I81" s="13"/>
      <c r="J81" s="17" t="str">
        <f>IF(F81="","",IFERROR(VLOOKUP(F81,Ρυθμίσεις!$A$4:$B$50,2,FALSE()),0))</f>
        <v/>
      </c>
      <c r="K81" s="17"/>
      <c r="L81" s="12" t="str">
        <f t="shared" si="5"/>
        <v/>
      </c>
    </row>
    <row r="82" spans="1:12" ht="19.5" customHeight="1">
      <c r="A82" s="8" t="str">
        <f t="shared" si="4"/>
        <v/>
      </c>
      <c r="B82" s="9"/>
      <c r="C82" s="10"/>
      <c r="D82" s="11"/>
      <c r="E82" s="11"/>
      <c r="F82" s="11"/>
      <c r="G82" s="11"/>
      <c r="H82" s="8"/>
      <c r="I82" s="8"/>
      <c r="J82" s="12" t="str">
        <f>IF(F82="","",IFERROR(VLOOKUP(F82,Ρυθμίσεις!$A$4:$B$50,2,FALSE()),0))</f>
        <v/>
      </c>
      <c r="K82" s="12"/>
      <c r="L82" s="12" t="str">
        <f t="shared" si="5"/>
        <v/>
      </c>
    </row>
    <row r="83" spans="1:12" ht="19.5" customHeight="1">
      <c r="A83" s="13" t="str">
        <f t="shared" si="4"/>
        <v/>
      </c>
      <c r="B83" s="14"/>
      <c r="C83" s="15"/>
      <c r="D83" s="16"/>
      <c r="E83" s="16"/>
      <c r="F83" s="16"/>
      <c r="G83" s="16"/>
      <c r="H83" s="13"/>
      <c r="I83" s="13"/>
      <c r="J83" s="17" t="str">
        <f>IF(F83="","",IFERROR(VLOOKUP(F83,Ρυθμίσεις!$A$4:$B$50,2,FALSE()),0))</f>
        <v/>
      </c>
      <c r="K83" s="17"/>
      <c r="L83" s="12" t="str">
        <f t="shared" si="5"/>
        <v/>
      </c>
    </row>
    <row r="84" spans="1:12" ht="19.5" customHeight="1">
      <c r="A84" s="8" t="str">
        <f t="shared" si="4"/>
        <v/>
      </c>
      <c r="B84" s="9"/>
      <c r="C84" s="10"/>
      <c r="D84" s="11"/>
      <c r="E84" s="11"/>
      <c r="F84" s="11"/>
      <c r="G84" s="11"/>
      <c r="H84" s="8"/>
      <c r="I84" s="8"/>
      <c r="J84" s="12" t="str">
        <f>IF(F84="","",IFERROR(VLOOKUP(F84,Ρυθμίσεις!$A$4:$B$50,2,FALSE()),0))</f>
        <v/>
      </c>
      <c r="K84" s="12"/>
      <c r="L84" s="12" t="str">
        <f t="shared" si="5"/>
        <v/>
      </c>
    </row>
    <row r="85" spans="1:12" ht="19.5" customHeight="1">
      <c r="A85" s="13" t="str">
        <f t="shared" si="4"/>
        <v/>
      </c>
      <c r="B85" s="14"/>
      <c r="C85" s="15"/>
      <c r="D85" s="16"/>
      <c r="E85" s="16"/>
      <c r="F85" s="16"/>
      <c r="G85" s="16"/>
      <c r="H85" s="13"/>
      <c r="I85" s="13"/>
      <c r="J85" s="17" t="str">
        <f>IF(F85="","",IFERROR(VLOOKUP(F85,Ρυθμίσεις!$A$4:$B$50,2,FALSE()),0))</f>
        <v/>
      </c>
      <c r="K85" s="17"/>
      <c r="L85" s="12" t="str">
        <f t="shared" si="5"/>
        <v/>
      </c>
    </row>
    <row r="86" spans="1:12" ht="19.5" customHeight="1">
      <c r="A86" s="8" t="str">
        <f t="shared" si="4"/>
        <v/>
      </c>
      <c r="B86" s="9"/>
      <c r="C86" s="10"/>
      <c r="D86" s="11"/>
      <c r="E86" s="11"/>
      <c r="F86" s="11"/>
      <c r="G86" s="11"/>
      <c r="H86" s="8"/>
      <c r="I86" s="8"/>
      <c r="J86" s="12" t="str">
        <f>IF(F86="","",IFERROR(VLOOKUP(F86,Ρυθμίσεις!$A$4:$B$50,2,FALSE()),0))</f>
        <v/>
      </c>
      <c r="K86" s="12"/>
      <c r="L86" s="12" t="str">
        <f t="shared" si="5"/>
        <v/>
      </c>
    </row>
    <row r="87" spans="1:12" ht="19.5" customHeight="1">
      <c r="A87" s="13" t="str">
        <f t="shared" si="4"/>
        <v/>
      </c>
      <c r="B87" s="14"/>
      <c r="C87" s="15"/>
      <c r="D87" s="16"/>
      <c r="E87" s="16"/>
      <c r="F87" s="16"/>
      <c r="G87" s="16"/>
      <c r="H87" s="13"/>
      <c r="I87" s="13"/>
      <c r="J87" s="17" t="str">
        <f>IF(F87="","",IFERROR(VLOOKUP(F87,Ρυθμίσεις!$A$4:$B$50,2,FALSE()),0))</f>
        <v/>
      </c>
      <c r="K87" s="17"/>
      <c r="L87" s="12" t="str">
        <f t="shared" si="5"/>
        <v/>
      </c>
    </row>
    <row r="88" spans="1:12" ht="19.5" customHeight="1">
      <c r="A88" s="8" t="str">
        <f t="shared" si="4"/>
        <v/>
      </c>
      <c r="B88" s="9"/>
      <c r="C88" s="10"/>
      <c r="D88" s="11"/>
      <c r="E88" s="11"/>
      <c r="F88" s="11"/>
      <c r="G88" s="11"/>
      <c r="H88" s="8"/>
      <c r="I88" s="8"/>
      <c r="J88" s="12" t="str">
        <f>IF(F88="","",IFERROR(VLOOKUP(F88,Ρυθμίσεις!$A$4:$B$50,2,FALSE()),0))</f>
        <v/>
      </c>
      <c r="K88" s="12"/>
      <c r="L88" s="12" t="str">
        <f t="shared" si="5"/>
        <v/>
      </c>
    </row>
    <row r="89" spans="1:12" ht="19.5" customHeight="1">
      <c r="A89" s="13" t="str">
        <f t="shared" si="4"/>
        <v/>
      </c>
      <c r="B89" s="14"/>
      <c r="C89" s="15"/>
      <c r="D89" s="16"/>
      <c r="E89" s="16"/>
      <c r="F89" s="16"/>
      <c r="G89" s="16"/>
      <c r="H89" s="13"/>
      <c r="I89" s="13"/>
      <c r="J89" s="17" t="str">
        <f>IF(F89="","",IFERROR(VLOOKUP(F89,Ρυθμίσεις!$A$4:$B$50,2,FALSE()),0))</f>
        <v/>
      </c>
      <c r="K89" s="17"/>
      <c r="L89" s="12" t="str">
        <f t="shared" si="5"/>
        <v/>
      </c>
    </row>
    <row r="90" spans="1:12" ht="19.5" customHeight="1">
      <c r="A90" s="8" t="str">
        <f t="shared" si="4"/>
        <v/>
      </c>
      <c r="B90" s="9"/>
      <c r="C90" s="10"/>
      <c r="D90" s="11"/>
      <c r="E90" s="11"/>
      <c r="F90" s="11"/>
      <c r="G90" s="11"/>
      <c r="H90" s="8"/>
      <c r="I90" s="8"/>
      <c r="J90" s="12" t="str">
        <f>IF(F90="","",IFERROR(VLOOKUP(F90,Ρυθμίσεις!$A$4:$B$50,2,FALSE()),0))</f>
        <v/>
      </c>
      <c r="K90" s="12"/>
      <c r="L90" s="12" t="str">
        <f t="shared" si="5"/>
        <v/>
      </c>
    </row>
    <row r="91" spans="1:12" ht="19.5" customHeight="1">
      <c r="A91" s="13" t="str">
        <f t="shared" si="4"/>
        <v/>
      </c>
      <c r="B91" s="14"/>
      <c r="C91" s="15"/>
      <c r="D91" s="16"/>
      <c r="E91" s="16"/>
      <c r="F91" s="16"/>
      <c r="G91" s="16"/>
      <c r="H91" s="13"/>
      <c r="I91" s="13"/>
      <c r="J91" s="17" t="str">
        <f>IF(F91="","",IFERROR(VLOOKUP(F91,Ρυθμίσεις!$A$4:$B$50,2,FALSE()),0))</f>
        <v/>
      </c>
      <c r="K91" s="17"/>
      <c r="L91" s="12" t="str">
        <f t="shared" si="5"/>
        <v/>
      </c>
    </row>
    <row r="92" spans="1:12" ht="19.5" customHeight="1">
      <c r="A92" s="8" t="str">
        <f t="shared" si="4"/>
        <v/>
      </c>
      <c r="B92" s="9"/>
      <c r="C92" s="10"/>
      <c r="D92" s="11"/>
      <c r="E92" s="11"/>
      <c r="F92" s="11"/>
      <c r="G92" s="11"/>
      <c r="H92" s="8"/>
      <c r="I92" s="8"/>
      <c r="J92" s="12" t="str">
        <f>IF(F92="","",IFERROR(VLOOKUP(F92,Ρυθμίσεις!$A$4:$B$50,2,FALSE()),0))</f>
        <v/>
      </c>
      <c r="K92" s="12"/>
      <c r="L92" s="12" t="str">
        <f t="shared" si="5"/>
        <v/>
      </c>
    </row>
    <row r="93" spans="1:12" ht="19.5" customHeight="1">
      <c r="A93" s="13" t="str">
        <f t="shared" si="4"/>
        <v/>
      </c>
      <c r="B93" s="14"/>
      <c r="C93" s="15"/>
      <c r="D93" s="16"/>
      <c r="E93" s="16"/>
      <c r="F93" s="16"/>
      <c r="G93" s="16"/>
      <c r="H93" s="13"/>
      <c r="I93" s="13"/>
      <c r="J93" s="17" t="str">
        <f>IF(F93="","",IFERROR(VLOOKUP(F93,Ρυθμίσεις!$A$4:$B$50,2,FALSE()),0))</f>
        <v/>
      </c>
      <c r="K93" s="17"/>
      <c r="L93" s="12" t="str">
        <f t="shared" si="5"/>
        <v/>
      </c>
    </row>
    <row r="94" spans="1:12" ht="19.5" customHeight="1">
      <c r="A94" s="8" t="str">
        <f t="shared" si="4"/>
        <v/>
      </c>
      <c r="B94" s="9"/>
      <c r="C94" s="10"/>
      <c r="D94" s="11"/>
      <c r="E94" s="11"/>
      <c r="F94" s="11"/>
      <c r="G94" s="11"/>
      <c r="H94" s="8"/>
      <c r="I94" s="8"/>
      <c r="J94" s="12" t="str">
        <f>IF(F94="","",IFERROR(VLOOKUP(F94,Ρυθμίσεις!$A$4:$B$50,2,FALSE()),0))</f>
        <v/>
      </c>
      <c r="K94" s="12"/>
      <c r="L94" s="12" t="str">
        <f t="shared" si="5"/>
        <v/>
      </c>
    </row>
    <row r="95" spans="1:12" ht="19.5" customHeight="1">
      <c r="A95" s="13" t="str">
        <f t="shared" si="4"/>
        <v/>
      </c>
      <c r="B95" s="14"/>
      <c r="C95" s="15"/>
      <c r="D95" s="16"/>
      <c r="E95" s="16"/>
      <c r="F95" s="16"/>
      <c r="G95" s="16"/>
      <c r="H95" s="13"/>
      <c r="I95" s="13"/>
      <c r="J95" s="17" t="str">
        <f>IF(F95="","",IFERROR(VLOOKUP(F95,Ρυθμίσεις!$A$4:$B$50,2,FALSE()),0))</f>
        <v/>
      </c>
      <c r="K95" s="17"/>
      <c r="L95" s="12" t="str">
        <f t="shared" si="5"/>
        <v/>
      </c>
    </row>
    <row r="96" spans="1:12" ht="19.5" customHeight="1">
      <c r="A96" s="8" t="str">
        <f t="shared" si="4"/>
        <v/>
      </c>
      <c r="B96" s="9"/>
      <c r="C96" s="10"/>
      <c r="D96" s="11"/>
      <c r="E96" s="11"/>
      <c r="F96" s="11"/>
      <c r="G96" s="11"/>
      <c r="H96" s="8"/>
      <c r="I96" s="8"/>
      <c r="J96" s="12" t="str">
        <f>IF(F96="","",IFERROR(VLOOKUP(F96,Ρυθμίσεις!$A$4:$B$50,2,FALSE()),0))</f>
        <v/>
      </c>
      <c r="K96" s="12"/>
      <c r="L96" s="12" t="str">
        <f t="shared" si="5"/>
        <v/>
      </c>
    </row>
    <row r="97" spans="1:12" ht="19.5" customHeight="1">
      <c r="A97" s="13" t="str">
        <f t="shared" si="4"/>
        <v/>
      </c>
      <c r="B97" s="14"/>
      <c r="C97" s="15"/>
      <c r="D97" s="16"/>
      <c r="E97" s="16"/>
      <c r="F97" s="16"/>
      <c r="G97" s="16"/>
      <c r="H97" s="13"/>
      <c r="I97" s="13"/>
      <c r="J97" s="17" t="str">
        <f>IF(F97="","",IFERROR(VLOOKUP(F97,Ρυθμίσεις!$A$4:$B$50,2,FALSE()),0))</f>
        <v/>
      </c>
      <c r="K97" s="17"/>
      <c r="L97" s="12" t="str">
        <f t="shared" si="5"/>
        <v/>
      </c>
    </row>
    <row r="98" spans="1:12" ht="19.5" customHeight="1">
      <c r="A98" s="8" t="str">
        <f t="shared" si="4"/>
        <v/>
      </c>
      <c r="B98" s="9"/>
      <c r="C98" s="10"/>
      <c r="D98" s="11"/>
      <c r="E98" s="11"/>
      <c r="F98" s="11"/>
      <c r="G98" s="11"/>
      <c r="H98" s="8"/>
      <c r="I98" s="8"/>
      <c r="J98" s="12" t="str">
        <f>IF(F98="","",IFERROR(VLOOKUP(F98,Ρυθμίσεις!$A$4:$B$50,2,FALSE()),0))</f>
        <v/>
      </c>
      <c r="K98" s="12"/>
      <c r="L98" s="12" t="str">
        <f t="shared" si="5"/>
        <v/>
      </c>
    </row>
    <row r="99" spans="1:12" ht="19.5" customHeight="1">
      <c r="A99" s="13" t="str">
        <f t="shared" si="4"/>
        <v/>
      </c>
      <c r="B99" s="14"/>
      <c r="C99" s="15"/>
      <c r="D99" s="16"/>
      <c r="E99" s="16"/>
      <c r="F99" s="16"/>
      <c r="G99" s="16"/>
      <c r="H99" s="13"/>
      <c r="I99" s="13"/>
      <c r="J99" s="17" t="str">
        <f>IF(F99="","",IFERROR(VLOOKUP(F99,Ρυθμίσεις!$A$4:$B$50,2,FALSE()),0))</f>
        <v/>
      </c>
      <c r="K99" s="17"/>
      <c r="L99" s="12" t="str">
        <f t="shared" si="5"/>
        <v/>
      </c>
    </row>
    <row r="100" spans="1:12" ht="19.5" customHeight="1">
      <c r="A100" s="8" t="str">
        <f t="shared" si="4"/>
        <v/>
      </c>
      <c r="B100" s="9"/>
      <c r="C100" s="10"/>
      <c r="D100" s="11"/>
      <c r="E100" s="11"/>
      <c r="F100" s="11"/>
      <c r="G100" s="11"/>
      <c r="H100" s="8"/>
      <c r="I100" s="8"/>
      <c r="J100" s="12" t="str">
        <f>IF(F100="","",IFERROR(VLOOKUP(F100,Ρυθμίσεις!$A$4:$B$50,2,FALSE()),0))</f>
        <v/>
      </c>
      <c r="K100" s="12"/>
      <c r="L100" s="12" t="str">
        <f t="shared" si="5"/>
        <v/>
      </c>
    </row>
  </sheetData>
  <mergeCells count="2">
    <mergeCell ref="A1:L1"/>
    <mergeCell ref="A2:L2"/>
  </mergeCells>
  <conditionalFormatting sqref="I8:I100">
    <cfRule type="cellIs" dxfId="3" priority="2" operator="equal">
      <formula>"Ολοκληρώθηκε"</formula>
    </cfRule>
    <cfRule type="cellIs" dxfId="2" priority="3" operator="equal">
      <formula>"Σε Αναμονή"</formula>
    </cfRule>
    <cfRule type="cellIs" dxfId="1" priority="4" operator="equal">
      <formula>"Ακυρώθηκε"</formula>
    </cfRule>
  </conditionalFormatting>
  <conditionalFormatting sqref="L8:L100">
    <cfRule type="cellIs" dxfId="0" priority="5" operator="greaterThan">
      <formula>0</formula>
    </cfRule>
  </conditionalFormatting>
  <dataValidations count="4">
    <dataValidation type="list" allowBlank="1" sqref="I8:I100">
      <formula1>"Σε Αναμονή,Ολοκληρώθηκε,Ακυρώθηκε"</formula1>
      <formula2>0</formula2>
    </dataValidation>
    <dataValidation type="list" allowBlank="1" sqref="F8:F100">
      <formula1>TherapiesList</formula1>
      <formula2>0</formula2>
    </dataValidation>
    <dataValidation type="list" allowBlank="1" sqref="G8:G100">
      <formula1>DoctorsList</formula1>
      <formula2>0</formula2>
    </dataValidation>
    <dataValidation type="list" allowBlank="1" sqref="H8:H100">
      <formula1>RoomsList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3" topLeftCell="A4" activePane="bottomLeft" state="frozen"/>
      <selection pane="bottomLeft" activeCell="C8" sqref="C8"/>
    </sheetView>
  </sheetViews>
  <sheetFormatPr defaultColWidth="8.7109375" defaultRowHeight="15"/>
  <cols>
    <col min="1" max="1" width="31" style="3" customWidth="1"/>
    <col min="2" max="2" width="25" style="3" customWidth="1"/>
    <col min="3" max="3" width="27" style="3" customWidth="1"/>
    <col min="4" max="4" width="23" style="3" customWidth="1"/>
    <col min="6" max="6" width="20" style="3" customWidth="1"/>
  </cols>
  <sheetData>
    <row r="1" spans="1:6" ht="30" customHeight="1">
      <c r="A1" s="2" t="s">
        <v>32</v>
      </c>
      <c r="B1" s="2"/>
      <c r="C1" s="2"/>
      <c r="D1" s="2"/>
    </row>
    <row r="3" spans="1:6" ht="24" customHeight="1">
      <c r="A3" s="7" t="s">
        <v>33</v>
      </c>
      <c r="B3" s="7" t="s">
        <v>34</v>
      </c>
      <c r="C3" s="7" t="s">
        <v>35</v>
      </c>
      <c r="D3" s="7" t="s">
        <v>36</v>
      </c>
      <c r="F3" s="7" t="s">
        <v>37</v>
      </c>
    </row>
    <row r="4" spans="1:6" ht="16.5" customHeight="1">
      <c r="A4" s="18" t="s">
        <v>29</v>
      </c>
      <c r="B4" s="19">
        <v>20</v>
      </c>
      <c r="C4" s="20">
        <v>1</v>
      </c>
      <c r="D4" s="20" t="s">
        <v>38</v>
      </c>
      <c r="F4" s="20" t="s">
        <v>21</v>
      </c>
    </row>
    <row r="5" spans="1:6" ht="16.5" customHeight="1">
      <c r="A5" s="18" t="s">
        <v>25</v>
      </c>
      <c r="B5" s="19">
        <v>40</v>
      </c>
      <c r="C5" s="20">
        <v>2</v>
      </c>
      <c r="D5" s="20" t="s">
        <v>39</v>
      </c>
      <c r="F5" s="20" t="s">
        <v>24</v>
      </c>
    </row>
    <row r="6" spans="1:6" ht="16.5" customHeight="1">
      <c r="A6" s="18" t="s">
        <v>27</v>
      </c>
      <c r="B6" s="19">
        <v>60</v>
      </c>
      <c r="C6" s="20">
        <v>3</v>
      </c>
      <c r="D6" s="20" t="s">
        <v>40</v>
      </c>
      <c r="F6" s="20" t="s">
        <v>30</v>
      </c>
    </row>
    <row r="7" spans="1:6" ht="16.5" customHeight="1">
      <c r="A7" s="18" t="s">
        <v>23</v>
      </c>
      <c r="B7" s="19">
        <v>120</v>
      </c>
      <c r="C7" s="20">
        <v>4</v>
      </c>
      <c r="D7" s="20" t="s">
        <v>41</v>
      </c>
      <c r="F7" s="20" t="s">
        <v>42</v>
      </c>
    </row>
    <row r="8" spans="1:6" ht="16.5" customHeight="1">
      <c r="A8" s="18" t="s">
        <v>20</v>
      </c>
      <c r="B8" s="19">
        <v>50</v>
      </c>
      <c r="C8" s="18"/>
      <c r="D8" s="18"/>
    </row>
    <row r="9" spans="1:6" ht="16.5" customHeight="1">
      <c r="A9" s="18" t="s">
        <v>43</v>
      </c>
      <c r="B9" s="19">
        <v>100</v>
      </c>
      <c r="C9" s="18"/>
      <c r="D9" s="18"/>
    </row>
    <row r="10" spans="1:6" ht="16.5" customHeight="1">
      <c r="A10" s="18" t="s">
        <v>26</v>
      </c>
      <c r="B10" s="19">
        <v>250</v>
      </c>
      <c r="C10" s="18"/>
      <c r="D10" s="18"/>
    </row>
    <row r="11" spans="1:6" ht="16.5" customHeight="1">
      <c r="A11" s="18" t="s">
        <v>44</v>
      </c>
      <c r="B11" s="19">
        <v>600</v>
      </c>
      <c r="C11" s="18"/>
      <c r="D11" s="18"/>
    </row>
    <row r="12" spans="1:6" ht="16.5" customHeight="1">
      <c r="A12" s="18" t="s">
        <v>31</v>
      </c>
      <c r="B12" s="19">
        <v>150</v>
      </c>
      <c r="C12" s="18"/>
      <c r="D12" s="18"/>
    </row>
    <row r="13" spans="1:6" ht="16.5" customHeight="1">
      <c r="A13" s="18"/>
      <c r="B13" s="19"/>
      <c r="C13" s="18"/>
      <c r="D13" s="18"/>
    </row>
    <row r="14" spans="1:6" ht="16.5" customHeight="1">
      <c r="A14" s="18"/>
      <c r="B14" s="19"/>
      <c r="C14" s="18"/>
      <c r="D14" s="18"/>
    </row>
    <row r="15" spans="1:6" ht="16.5" customHeight="1">
      <c r="A15" s="18"/>
      <c r="B15" s="19"/>
      <c r="C15" s="18"/>
      <c r="D15" s="18"/>
    </row>
    <row r="16" spans="1:6" ht="16.5" customHeight="1">
      <c r="A16" s="18"/>
      <c r="B16" s="19"/>
      <c r="C16" s="18"/>
      <c r="D16" s="18"/>
    </row>
    <row r="17" spans="1:4" ht="16.5" customHeight="1">
      <c r="A17" s="18"/>
      <c r="B17" s="19"/>
      <c r="C17" s="18"/>
      <c r="D17" s="18"/>
    </row>
    <row r="18" spans="1:4" ht="16.5" customHeight="1">
      <c r="A18" s="18"/>
      <c r="B18" s="19"/>
      <c r="C18" s="18"/>
      <c r="D18" s="18"/>
    </row>
    <row r="19" spans="1:4" ht="16.5" customHeight="1">
      <c r="A19" s="18"/>
      <c r="B19" s="19"/>
      <c r="C19" s="18"/>
      <c r="D19" s="18"/>
    </row>
    <row r="20" spans="1:4" ht="16.5" customHeight="1">
      <c r="A20" s="18"/>
      <c r="B20" s="19"/>
      <c r="C20" s="18"/>
      <c r="D20" s="18"/>
    </row>
    <row r="21" spans="1:4" ht="16.5" customHeight="1">
      <c r="A21" s="18"/>
      <c r="B21" s="19"/>
      <c r="C21" s="18"/>
      <c r="D21" s="18"/>
    </row>
    <row r="22" spans="1:4" ht="16.5" customHeight="1">
      <c r="A22" s="18"/>
      <c r="B22" s="19"/>
      <c r="C22" s="18"/>
      <c r="D22" s="18"/>
    </row>
    <row r="23" spans="1:4" ht="16.5" customHeight="1">
      <c r="A23" s="18"/>
      <c r="B23" s="19"/>
      <c r="C23" s="18"/>
      <c r="D23" s="18"/>
    </row>
    <row r="24" spans="1:4" ht="16.5" customHeight="1">
      <c r="A24" s="18"/>
      <c r="B24" s="19"/>
      <c r="C24" s="18"/>
      <c r="D24" s="18"/>
    </row>
    <row r="25" spans="1:4" ht="16.5" customHeight="1">
      <c r="A25" s="18"/>
      <c r="B25" s="19"/>
      <c r="C25" s="18"/>
      <c r="D25" s="18"/>
    </row>
    <row r="26" spans="1:4" ht="16.5" customHeight="1">
      <c r="A26" s="18"/>
      <c r="B26" s="19"/>
      <c r="C26" s="18"/>
      <c r="D26" s="18"/>
    </row>
    <row r="27" spans="1:4" ht="16.5" customHeight="1">
      <c r="A27" s="18"/>
      <c r="B27" s="19"/>
      <c r="C27" s="18"/>
      <c r="D27" s="18"/>
    </row>
    <row r="28" spans="1:4" ht="16.5" customHeight="1">
      <c r="A28" s="18"/>
      <c r="B28" s="19"/>
      <c r="C28" s="18"/>
      <c r="D28" s="18"/>
    </row>
    <row r="29" spans="1:4" ht="16.5" customHeight="1">
      <c r="A29" s="18"/>
      <c r="B29" s="19"/>
      <c r="C29" s="18"/>
      <c r="D29" s="18"/>
    </row>
    <row r="30" spans="1:4" ht="16.5" customHeight="1">
      <c r="A30" s="18"/>
      <c r="B30" s="19"/>
      <c r="C30" s="18"/>
      <c r="D30" s="18"/>
    </row>
    <row r="31" spans="1:4" ht="16.5" customHeight="1">
      <c r="A31" s="18"/>
      <c r="B31" s="19"/>
    </row>
    <row r="32" spans="1:4" ht="16.5" customHeight="1">
      <c r="A32" s="18"/>
      <c r="B32" s="19"/>
    </row>
    <row r="33" spans="1:2" ht="16.5" customHeight="1">
      <c r="A33" s="18"/>
      <c r="B33" s="19"/>
    </row>
    <row r="34" spans="1:2" ht="16.5" customHeight="1">
      <c r="A34" s="18"/>
      <c r="B34" s="19"/>
    </row>
    <row r="35" spans="1:2" ht="16.5" customHeight="1">
      <c r="A35" s="18"/>
      <c r="B35" s="19"/>
    </row>
    <row r="36" spans="1:2" ht="16.5" customHeight="1">
      <c r="A36" s="18"/>
      <c r="B36" s="19"/>
    </row>
    <row r="37" spans="1:2" ht="16.5" customHeight="1">
      <c r="A37" s="18"/>
      <c r="B37" s="19"/>
    </row>
    <row r="38" spans="1:2" ht="16.5" customHeight="1">
      <c r="A38" s="18"/>
      <c r="B38" s="19"/>
    </row>
    <row r="39" spans="1:2" ht="16.5" customHeight="1">
      <c r="A39" s="18"/>
      <c r="B39" s="19"/>
    </row>
    <row r="40" spans="1:2" ht="16.5" customHeight="1">
      <c r="A40" s="18"/>
      <c r="B40" s="19"/>
    </row>
    <row r="41" spans="1:2" ht="16.5" customHeight="1">
      <c r="A41" s="18"/>
      <c r="B41" s="19"/>
    </row>
    <row r="42" spans="1:2" ht="16.5" customHeight="1">
      <c r="A42" s="18"/>
      <c r="B42" s="19"/>
    </row>
    <row r="43" spans="1:2" ht="16.5" customHeight="1">
      <c r="A43" s="18"/>
      <c r="B43" s="19"/>
    </row>
    <row r="44" spans="1:2" ht="16.5" customHeight="1">
      <c r="A44" s="18"/>
      <c r="B44" s="19"/>
    </row>
    <row r="45" spans="1:2" ht="16.5" customHeight="1">
      <c r="A45" s="18"/>
      <c r="B45" s="19"/>
    </row>
    <row r="46" spans="1:2" ht="16.5" customHeight="1">
      <c r="A46" s="18"/>
      <c r="B46" s="19"/>
    </row>
    <row r="47" spans="1:2" ht="16.5" customHeight="1">
      <c r="A47" s="18"/>
      <c r="B47" s="19"/>
    </row>
    <row r="48" spans="1:2" ht="16.5" customHeight="1">
      <c r="A48" s="18"/>
      <c r="B48" s="19"/>
    </row>
    <row r="49" spans="1:2" ht="16.5" customHeight="1">
      <c r="A49" s="18"/>
      <c r="B49" s="19"/>
    </row>
    <row r="50" spans="1:2" ht="16.5" customHeight="1">
      <c r="A50" s="18"/>
      <c r="B50" s="19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4" baseType="variant">
      <vt:variant>
        <vt:lpstr>Φύλλα εργασίας</vt:lpstr>
      </vt:variant>
      <vt:variant>
        <vt:i4>2</vt:i4>
      </vt:variant>
      <vt:variant>
        <vt:lpstr>Περιοχές με ονόματα</vt:lpstr>
      </vt:variant>
      <vt:variant>
        <vt:i4>4</vt:i4>
      </vt:variant>
    </vt:vector>
  </HeadingPairs>
  <TitlesOfParts>
    <vt:vector size="6" baseType="lpstr">
      <vt:lpstr>Πρόγραμμα Ραντεβού</vt:lpstr>
      <vt:lpstr>Ρυθμίσεις</vt:lpstr>
      <vt:lpstr>DoctorsList</vt:lpstr>
      <vt:lpstr>'Πρόγραμμα Ραντεβού'!Print_Titles</vt:lpstr>
      <vt:lpstr>RoomsList</vt:lpstr>
      <vt:lpstr>TherapiesList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2026-09-16T21:13:36Z</dcterms:created>
  <dcterms:modified xsi:type="dcterms:W3CDTF">2026-09-24T17:47:21Z</dcterms:modified>
  <dc:language>en-US</dc:language>
</cp:coreProperties>
</file>