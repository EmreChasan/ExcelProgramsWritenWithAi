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ΡΑΝΤΕΒΟΥ" sheetId="1" r:id="rId1"/>
    <sheet name="ΗΜΕΡΗΣΙΟ ΠΡΟΓΡΑΜΜΑ" sheetId="2" r:id="rId2"/>
    <sheet name="ΣΥΝΟΨΗ" sheetId="3" r:id="rId3"/>
    <sheet name="ΡΥΘΜΙΣΕΙΣ" sheetId="4" r:id="rId4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1"/>
  <c r="H12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1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B10" i="4"/>
  <c r="H5" i="3" s="1"/>
  <c r="B8" i="4"/>
  <c r="I9" i="1" s="1"/>
  <c r="E11" i="3"/>
  <c r="B2"/>
  <c r="B5" s="1"/>
  <c r="C16" i="2"/>
  <c r="D16" s="1"/>
  <c r="B16"/>
  <c r="B27" i="3" s="1"/>
  <c r="C15" i="2"/>
  <c r="E15" s="1"/>
  <c r="B15"/>
  <c r="B26" i="3" s="1"/>
  <c r="C14" i="2"/>
  <c r="C25" i="3" s="1"/>
  <c r="B14" i="2"/>
  <c r="B25" i="3" s="1"/>
  <c r="C13" i="2"/>
  <c r="D13" s="1"/>
  <c r="B13"/>
  <c r="B24" i="3" s="1"/>
  <c r="C8" i="2"/>
  <c r="D8" s="1"/>
  <c r="B8"/>
  <c r="B19" i="3" s="1"/>
  <c r="C7" i="2"/>
  <c r="C18" i="3" s="1"/>
  <c r="B7" i="2"/>
  <c r="B18" i="3" s="1"/>
  <c r="C6" i="2"/>
  <c r="C17" i="3" s="1"/>
  <c r="B6" i="2"/>
  <c r="B17" i="3" s="1"/>
  <c r="C5" i="2"/>
  <c r="E5" s="1"/>
  <c r="B5"/>
  <c r="B16" i="3" s="1"/>
  <c r="I102" i="1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H10"/>
  <c r="H9"/>
  <c r="I8"/>
  <c r="B11" i="2" s="1"/>
  <c r="B22" i="3" s="1"/>
  <c r="H8" i="1"/>
  <c r="I7"/>
  <c r="H7"/>
  <c r="I6"/>
  <c r="H6"/>
  <c r="H5"/>
  <c r="I4"/>
  <c r="H4"/>
  <c r="H3"/>
  <c r="B9" i="2" l="1"/>
  <c r="B20" i="3" s="1"/>
  <c r="C27"/>
  <c r="C16"/>
  <c r="D5" i="2"/>
  <c r="D6"/>
  <c r="F5"/>
  <c r="E7"/>
  <c r="F14"/>
  <c r="D15"/>
  <c r="D7"/>
  <c r="E14"/>
  <c r="C26" i="3"/>
  <c r="F7" i="2"/>
  <c r="D14"/>
  <c r="F16"/>
  <c r="I5" i="1"/>
  <c r="E16" i="2"/>
  <c r="C19" i="3"/>
  <c r="F6" i="2"/>
  <c r="C9"/>
  <c r="I10" i="1"/>
  <c r="C12" i="2" s="1"/>
  <c r="E6"/>
  <c r="F13"/>
  <c r="C24" i="3"/>
  <c r="F8" i="2"/>
  <c r="C11"/>
  <c r="E13"/>
  <c r="E8"/>
  <c r="F15"/>
  <c r="E8" i="3" l="1"/>
  <c r="B12" i="2"/>
  <c r="B23" i="3" s="1"/>
  <c r="C10" i="2"/>
  <c r="B10"/>
  <c r="H8" i="3"/>
  <c r="E5"/>
  <c r="H11" s="1"/>
  <c r="D9" i="2"/>
  <c r="E9"/>
  <c r="C20" i="3"/>
  <c r="F9" i="2"/>
  <c r="D11"/>
  <c r="E11"/>
  <c r="F11"/>
  <c r="C22" i="3"/>
  <c r="B8"/>
  <c r="B11"/>
  <c r="C23"/>
  <c r="E12" i="2"/>
  <c r="F12"/>
  <c r="D12"/>
  <c r="F10" l="1"/>
  <c r="C21" i="3"/>
  <c r="D10" i="2"/>
  <c r="D17" s="1"/>
  <c r="E10"/>
  <c r="C17"/>
  <c r="B21" i="3"/>
  <c r="B17" i="2"/>
  <c r="F17" l="1"/>
  <c r="E17"/>
</calcChain>
</file>

<file path=xl/sharedStrings.xml><?xml version="1.0" encoding="utf-8"?>
<sst xmlns="http://schemas.openxmlformats.org/spreadsheetml/2006/main" count="145" uniqueCount="96">
  <si>
    <t>ΕΛΑΙΟΥΡΓΕΙΟ - ΛΙΣΤΑ ΚΑΤΑΧΩΡΙΣΗΣ ΡΑΝΤΕΒΟΥ</t>
  </si>
  <si>
    <t>Α/Α Ραντεβού</t>
  </si>
  <si>
    <t>Ημερομηνία</t>
  </si>
  <si>
    <t>Ώρα</t>
  </si>
  <si>
    <t>Ονοματεπώνυμο Παραγωγού</t>
  </si>
  <si>
    <t>Τηλέφωνο</t>
  </si>
  <si>
    <t>Πινακίδα</t>
  </si>
  <si>
    <t>Ποσότητα Ελιάς (kg)</t>
  </si>
  <si>
    <t>Απαιτούμενα Μηχανήματα</t>
  </si>
  <si>
    <t>Κατάσταση</t>
  </si>
  <si>
    <t>Σημειώσεις</t>
  </si>
  <si>
    <t>08:00</t>
  </si>
  <si>
    <t>KHK 1234</t>
  </si>
  <si>
    <t>KHM 5678</t>
  </si>
  <si>
    <t>10:00</t>
  </si>
  <si>
    <t>KHN 9012</t>
  </si>
  <si>
    <t>KHP 3456</t>
  </si>
  <si>
    <t>KHR 7890</t>
  </si>
  <si>
    <t>12:00</t>
  </si>
  <si>
    <t>KHT 2345</t>
  </si>
  <si>
    <t>14:00</t>
  </si>
  <si>
    <t>KHX 6789</t>
  </si>
  <si>
    <t>ΗΜΕΡΗΣΙΟ ΠΡΟΓΡΑΜΜΑ ΕΚΘΛΙΨΗΣ &amp; ΧΩΡΗΤΙΚΟΤΗΤΑΣ</t>
  </si>
  <si>
    <t>ΕΠΙΛΕΓΜΕΝΗ ΗΜΕΡΟΜΗΝΙΑ:</t>
  </si>
  <si>
    <t>💡 Σημείωση: Αλλάξτε την ημερομηνία για να δείτε τη διαθεσιμότητα της ημέρας.</t>
  </si>
  <si>
    <t>Χρονικό Διάστημα</t>
  </si>
  <si>
    <t>Σύνολο Ραντεβού</t>
  </si>
  <si>
    <t>Σύνολο Ελιών (kg)</t>
  </si>
  <si>
    <t>Μηχανήματα σε Χρήση</t>
  </si>
  <si>
    <t>Χρήση Χωρητικότητας (%)</t>
  </si>
  <si>
    <t>Κατάσταση Slot</t>
  </si>
  <si>
    <t>00:00 - 02:00</t>
  </si>
  <si>
    <t>02:00 - 04:00</t>
  </si>
  <si>
    <t>04:00 - 06:00</t>
  </si>
  <si>
    <t>06:00 - 08:00</t>
  </si>
  <si>
    <t>08:00 - 10:00</t>
  </si>
  <si>
    <t>10:00 - 12:00</t>
  </si>
  <si>
    <t>12:00 - 14:00</t>
  </si>
  <si>
    <t>14:00 - 16:00</t>
  </si>
  <si>
    <t>16:00 - 18:00</t>
  </si>
  <si>
    <t>18:00 - 20:00</t>
  </si>
  <si>
    <t>20:00 - 22:00</t>
  </si>
  <si>
    <t>22:00 - 00:00</t>
  </si>
  <si>
    <t>ΗΜΕΡΗΣΙΟ ΣΥΝΟΛΟ:</t>
  </si>
  <si>
    <t>ΕΛΑΙΟΥΡΓΕΙΟ - ΠΙΝΑΚΑΣ ΕΛΕΓΧΟΥ (DASHBOARD)</t>
  </si>
  <si>
    <t>ΗΜΕΡΟΜΗΝΙΑ:</t>
  </si>
  <si>
    <t>ΣΗΜΕΡΙΝΆ ΡΑΝΤΕΒΟΎ</t>
  </si>
  <si>
    <t>ΣΥΝΟΛΙΚΉ ΠΟΣΌΤΗΤΑ</t>
  </si>
  <si>
    <t>ΜΈΓΙΣΤΗ ΗΜΕΡΉΣΙΑ ΧΩΡΗΤΙΚΌΤΗΤΑ</t>
  </si>
  <si>
    <t>ΣΕ ΑΝΑΜΟΝΉ</t>
  </si>
  <si>
    <t>ΣΕ ΕΠΕΞΕΡΓΑΣΊΑ / ΈΦΤΑΣΕ</t>
  </si>
  <si>
    <t>ΟΛΟΚΛΗΡΩΜΈΝΑ</t>
  </si>
  <si>
    <t>ΑΚΥΡΩΜΈΝΑ ΡΑΝΤΕΒΟΎ</t>
  </si>
  <si>
    <t>ΚΑΤΆΣΤΑΣΗ ΧΩΡΗΤΙΚΌΤΗΤΑΣ</t>
  </si>
  <si>
    <t>ΠΟΣΟΣΤΌ ΧΡΉΣΗΣ</t>
  </si>
  <si>
    <t>ΚΑΤΑΝΟΜΗ ΠΟΣΟΤΗΤΑΣ ΑΝΑ ΩΡΑ</t>
  </si>
  <si>
    <t>Αριθμός Ραντεβού</t>
  </si>
  <si>
    <t>Ποσότητα (kg)</t>
  </si>
  <si>
    <t>00:00</t>
  </si>
  <si>
    <t>02:00</t>
  </si>
  <si>
    <t>04:00</t>
  </si>
  <si>
    <t>06:00</t>
  </si>
  <si>
    <t>16:00</t>
  </si>
  <si>
    <t>18:00</t>
  </si>
  <si>
    <t>20:00</t>
  </si>
  <si>
    <t>22:00</t>
  </si>
  <si>
    <t>ΣΤΟΙΧΕΙΑ ΕΡΓΟΣΤΑΣΙΟΥ &amp; ΡΥΘΜΙΣΕΙΣ ΣΥΣΤΗΜΑΤΟΣ</t>
  </si>
  <si>
    <t>Παράμετρος</t>
  </si>
  <si>
    <t>Τιμή</t>
  </si>
  <si>
    <t>Μονάδα / Περιγραφή</t>
  </si>
  <si>
    <t>Αριθμός Μηχανημάτων</t>
  </si>
  <si>
    <t>Τεμάχια</t>
  </si>
  <si>
    <t>Χωρητικότητα Μηχανήματος</t>
  </si>
  <si>
    <t>Kg / Κύκλο</t>
  </si>
  <si>
    <t>Διάρκεια Έκθλιψης</t>
  </si>
  <si>
    <t>Ώρες</t>
  </si>
  <si>
    <t>Ημερήσιος Χρόνος Λειτουργίας</t>
  </si>
  <si>
    <t>Μέγιστη Χωρητικότητα ανά Slot</t>
  </si>
  <si>
    <t>Kg (7 × 600 kg = 4.200 kg)</t>
  </si>
  <si>
    <t>Ημερήσιος Αριθμός Slots (ανά Μηχανή)</t>
  </si>
  <si>
    <t>Επεξεργασίες (24 ώρες / 2 ώρες)</t>
  </si>
  <si>
    <t>Συνολική Θεωρητική Ημερήσια Χωρητικότητα</t>
  </si>
  <si>
    <t>Kg Ελιών (50.400 kg)</t>
  </si>
  <si>
    <t>ΩΡΕΣ</t>
  </si>
  <si>
    <t>ΚΑΤΑΣΤΑΣΗ</t>
  </si>
  <si>
    <t>Σε αναμονή</t>
  </si>
  <si>
    <t>Έφτασε</t>
  </si>
  <si>
    <t>Σε επεξεργασία</t>
  </si>
  <si>
    <t>Ολοκληρώθηκε</t>
  </si>
  <si>
    <t>Ακυρώθηκε</t>
  </si>
  <si>
    <t>jhgs</t>
  </si>
  <si>
    <t>Mike Oxlong</t>
  </si>
  <si>
    <t>KBX HY12</t>
  </si>
  <si>
    <t>kbx0254</t>
  </si>
  <si>
    <t>kbx2208</t>
  </si>
  <si>
    <t>xxxxxxx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</si>
</sst>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0.0%"/>
  </numFmts>
  <fonts count="9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1"/>
      <color rgb="FF000080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Calibri"/>
      <charset val="1"/>
    </font>
    <font>
      <b/>
      <sz val="9"/>
      <color rgb="FFFFFFFF"/>
      <name val="Arial"/>
      <charset val="1"/>
    </font>
    <font>
      <b/>
      <sz val="14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2E5A27"/>
        <bgColor rgb="FF1B5E20"/>
      </patternFill>
    </fill>
    <fill>
      <patternFill patternType="solid">
        <fgColor rgb="FF4A7C59"/>
        <bgColor rgb="FF2E7D32"/>
      </patternFill>
    </fill>
    <fill>
      <patternFill patternType="solid">
        <fgColor rgb="FFF5F5F5"/>
        <bgColor rgb="FFE8F5E9"/>
      </patternFill>
    </fill>
    <fill>
      <patternFill patternType="solid">
        <fgColor rgb="FF424242"/>
        <bgColor rgb="FF555555"/>
      </patternFill>
    </fill>
    <fill>
      <patternFill patternType="solid">
        <fgColor rgb="FFE8F5E9"/>
        <bgColor rgb="FFE0F2F1"/>
      </patternFill>
    </fill>
    <fill>
      <patternFill patternType="solid">
        <fgColor rgb="FFF57F17"/>
        <bgColor rgb="FFFF9900"/>
      </patternFill>
    </fill>
    <fill>
      <patternFill patternType="solid">
        <fgColor rgb="FF0D47A1"/>
        <bgColor rgb="FF0066CC"/>
      </patternFill>
    </fill>
    <fill>
      <patternFill patternType="solid">
        <fgColor rgb="FF1B5E20"/>
        <bgColor rgb="FF2E5A27"/>
      </patternFill>
    </fill>
    <fill>
      <patternFill patternType="solid">
        <fgColor rgb="FFFFF9C4"/>
        <bgColor rgb="FFF5F5F5"/>
      </patternFill>
    </fill>
    <fill>
      <patternFill patternType="solid">
        <fgColor rgb="FFBBDEFB"/>
        <bgColor rgb="FFC8E6C9"/>
      </patternFill>
    </fill>
    <fill>
      <patternFill patternType="solid">
        <fgColor rgb="FFC8E6C9"/>
        <bgColor rgb="FFD9D9D9"/>
      </patternFill>
    </fill>
    <fill>
      <patternFill patternType="solid">
        <fgColor rgb="FFB71C1C"/>
        <bgColor rgb="FF993366"/>
      </patternFill>
    </fill>
    <fill>
      <patternFill patternType="solid">
        <fgColor rgb="FF2E7D32"/>
        <bgColor rgb="FF4A7C59"/>
      </patternFill>
    </fill>
    <fill>
      <patternFill patternType="solid">
        <fgColor rgb="FF004D40"/>
        <bgColor rgb="FF1B5E20"/>
      </patternFill>
    </fill>
    <fill>
      <patternFill patternType="solid">
        <fgColor rgb="FFFFCDD2"/>
        <bgColor rgb="FFE1BEE7"/>
      </patternFill>
    </fill>
    <fill>
      <patternFill patternType="solid">
        <fgColor rgb="FFE0F2F1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3" fontId="0" fillId="0" borderId="1" xfId="0" applyNumberFormat="1" applyBorder="1" applyAlignment="1" applyProtection="1">
      <alignment horizontal="right" vertical="center"/>
      <protection locked="0"/>
    </xf>
    <xf numFmtId="0" fontId="3" fillId="0" borderId="0" xfId="0" applyFont="1" applyAlignment="1">
      <alignment horizontal="right" vertical="center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/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6" fillId="5" borderId="0" xfId="0" applyFont="1" applyFill="1" applyAlignment="1"/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/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3" fontId="8" fillId="16" borderId="1" xfId="0" applyNumberFormat="1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165" fontId="8" fillId="1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</cellXfs>
  <cellStyles count="1">
    <cellStyle name="Κανονικό" xfId="0" builtinId="0"/>
  </cellStyles>
  <dxfs count="8">
    <dxf>
      <font>
        <b/>
        <color rgb="FF1B5E20"/>
      </font>
      <fill>
        <patternFill>
          <bgColor rgb="FFC8E6C9"/>
        </patternFill>
      </fill>
    </dxf>
    <dxf>
      <font>
        <b/>
        <color rgb="FFB71C1C"/>
      </font>
      <fill>
        <patternFill>
          <bgColor rgb="FFFFCDD2"/>
        </patternFill>
      </fill>
    </dxf>
    <dxf>
      <font>
        <b/>
        <color rgb="FFB71C1C"/>
      </font>
      <fill>
        <patternFill>
          <bgColor rgb="FFFFCDD2"/>
        </patternFill>
      </fill>
    </dxf>
    <dxf>
      <font>
        <b/>
        <color rgb="FFB71C1C"/>
      </font>
      <fill>
        <patternFill>
          <bgColor rgb="FFFFCDD2"/>
        </patternFill>
      </fill>
    </dxf>
    <dxf>
      <font>
        <b/>
        <color rgb="FF1B5E20"/>
      </font>
      <fill>
        <patternFill>
          <bgColor rgb="FFC8E6C9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4A148C"/>
      </font>
      <fill>
        <patternFill>
          <bgColor rgb="FFE1BEE7"/>
        </patternFill>
      </fill>
    </dxf>
    <dxf>
      <font>
        <b/>
        <color rgb="FF8D6E63"/>
      </font>
      <fill>
        <patternFill>
          <bgColor rgb="FFFFF9C4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78787"/>
      <rgbColor rgb="FF9999FF"/>
      <rgbColor rgb="FF555555"/>
      <rgbColor rgb="FFFFF9C4"/>
      <rgbColor rgb="FFE0F2F1"/>
      <rgbColor rgb="FF4A148C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D9D9D9"/>
      <rgbColor rgb="FFFF99CC"/>
      <rgbColor rgb="FFE1BEE7"/>
      <rgbColor rgb="FFFFCDD2"/>
      <rgbColor rgb="FF3366FF"/>
      <rgbColor rgb="FF33CCCC"/>
      <rgbColor rgb="FF99CC00"/>
      <rgbColor rgb="FFFFCC00"/>
      <rgbColor rgb="FFFF9900"/>
      <rgbColor rgb="FFF57F17"/>
      <rgbColor rgb="FF4F81BD"/>
      <rgbColor rgb="FF8D6E63"/>
      <rgbColor rgb="FF004D40"/>
      <rgbColor rgb="FF4A7C59"/>
      <rgbColor rgb="FF1B5E20"/>
      <rgbColor rgb="FF2E5A27"/>
      <rgbColor rgb="FFB71C1C"/>
      <rgbColor rgb="FF993366"/>
      <rgbColor rgb="FF0D47A1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chart>
    <c:title>
      <c:tx>
        <c:rich>
          <a:bodyPr rot="0"/>
          <a:lstStyle/>
          <a:p>
            <a:pPr>
              <a:defRPr lang="el-G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Ποσότητα Ελιάς ανά Ώρα (kg)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ΣΥΝΟΨΗ!$C$15</c:f>
              <c:strCache>
                <c:ptCount val="1"/>
                <c:pt idx="0">
                  <c:v>Ποσότητα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ΣΥΝΟΨΗ!$A$16:$A$27</c:f>
              <c:strCache>
                <c:ptCount val="12"/>
                <c:pt idx="0">
                  <c:v>00:00</c:v>
                </c:pt>
                <c:pt idx="1">
                  <c:v>02:00</c:v>
                </c:pt>
                <c:pt idx="2">
                  <c:v>04:00</c:v>
                </c:pt>
                <c:pt idx="3">
                  <c:v>06:00</c:v>
                </c:pt>
                <c:pt idx="4">
                  <c:v>08:00</c:v>
                </c:pt>
                <c:pt idx="5">
                  <c:v>10:00</c:v>
                </c:pt>
                <c:pt idx="6">
                  <c:v>12:00</c:v>
                </c:pt>
                <c:pt idx="7">
                  <c:v>14:00</c:v>
                </c:pt>
                <c:pt idx="8">
                  <c:v>16:00</c:v>
                </c:pt>
                <c:pt idx="9">
                  <c:v>18:00</c:v>
                </c:pt>
                <c:pt idx="10">
                  <c:v>20:00</c:v>
                </c:pt>
                <c:pt idx="11">
                  <c:v>22:00</c:v>
                </c:pt>
              </c:strCache>
            </c:strRef>
          </c:cat>
          <c:val>
            <c:numRef>
              <c:f>ΣΥΝΟΨΗ!$C$16:$C$27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1800</c:v>
                </c:pt>
                <c:pt idx="5">
                  <c:v>5300</c:v>
                </c:pt>
                <c:pt idx="6">
                  <c:v>600</c:v>
                </c:pt>
                <c:pt idx="7">
                  <c:v>4150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100669696"/>
        <c:axId val="100676352"/>
      </c:barChart>
      <c:catAx>
        <c:axId val="100669696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lang="el-G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Ώρα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100676352"/>
        <c:crosses val="autoZero"/>
        <c:auto val="1"/>
        <c:lblAlgn val="ctr"/>
        <c:lblOffset val="100"/>
      </c:catAx>
      <c:valAx>
        <c:axId val="10067635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tr-T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#,##0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100669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14</xdr:col>
      <xdr:colOff>364320</xdr:colOff>
      <xdr:row>35</xdr:row>
      <xdr:rowOff>128160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>
      <selection activeCell="B15" sqref="B15"/>
    </sheetView>
  </sheetViews>
  <sheetFormatPr defaultColWidth="8.7109375" defaultRowHeight="15"/>
  <cols>
    <col min="1" max="2" width="14" style="1" customWidth="1"/>
    <col min="3" max="3" width="12" style="1" customWidth="1"/>
    <col min="4" max="4" width="31.85546875" style="1" customWidth="1"/>
    <col min="5" max="5" width="16" style="1" customWidth="1"/>
    <col min="6" max="6" width="14" style="1" customWidth="1"/>
    <col min="7" max="7" width="28.28515625" style="1" customWidth="1"/>
    <col min="8" max="8" width="30" style="1" customWidth="1"/>
    <col min="9" max="9" width="42.7109375" style="1" customWidth="1"/>
    <col min="10" max="10" width="25" style="1" customWidth="1"/>
  </cols>
  <sheetData>
    <row r="1" spans="1:10" ht="34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4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9.5" customHeight="1">
      <c r="A3" s="3">
        <v>1</v>
      </c>
      <c r="B3" s="4">
        <v>46310</v>
      </c>
      <c r="C3" s="5" t="s">
        <v>11</v>
      </c>
      <c r="D3" s="25" t="s">
        <v>91</v>
      </c>
      <c r="E3" s="26" t="s">
        <v>95</v>
      </c>
      <c r="F3" s="5" t="s">
        <v>12</v>
      </c>
      <c r="G3" s="7">
        <v>600</v>
      </c>
      <c r="H3" s="3">
        <f>IF(ISNUMBER(G3), INT((G3+ΡΥΘΜΙΣΕΙΣ!$B$5-1)/ΡΥΘΜΙΣΕΙΣ!$B$5), "")</f>
        <v>1</v>
      </c>
      <c r="I3" s="3" t="s">
        <v>85</v>
      </c>
      <c r="J3" s="6"/>
    </row>
    <row r="4" spans="1:10" ht="19.5" customHeight="1">
      <c r="A4" s="3">
        <v>2</v>
      </c>
      <c r="B4" s="4">
        <v>46310</v>
      </c>
      <c r="C4" s="5" t="s">
        <v>11</v>
      </c>
      <c r="D4" s="25" t="s">
        <v>91</v>
      </c>
      <c r="E4" s="26" t="s">
        <v>95</v>
      </c>
      <c r="F4" s="5" t="s">
        <v>13</v>
      </c>
      <c r="G4" s="7">
        <v>1200</v>
      </c>
      <c r="H4" s="3">
        <f>IF(ISNUMBER(G4), INT((G4+ΡΥΘΜΙΣΕΙΣ!$B$5-1)/ΡΥΘΜΙΣΕΙΣ!$B$5), "")</f>
        <v>2</v>
      </c>
      <c r="I4" s="3" t="str">
        <f>IF(AND(ISNUMBER(G4), B4&lt;&gt;"", C4&lt;&gt;""), IF(SUMIFS($G$3:$G$102,$B$3:$B$102,B4,$C$3:$C$102,C4)&gt;ΡΥΘΜΙΣΕΙΣ!$B$8,"ΠΡΟΣΟΧΗ: ΥΠΕΡΒΑΣΗ ΧΩΡΗΤΙΚΟΤΗΤΑΣ","Σε αναμονή"), "")</f>
        <v>Σε αναμονή</v>
      </c>
      <c r="J4" s="6"/>
    </row>
    <row r="5" spans="1:10" ht="19.5" customHeight="1">
      <c r="A5" s="3">
        <v>3</v>
      </c>
      <c r="B5" s="4">
        <v>46310</v>
      </c>
      <c r="C5" s="5" t="s">
        <v>14</v>
      </c>
      <c r="D5" s="25" t="s">
        <v>91</v>
      </c>
      <c r="E5" s="26" t="s">
        <v>95</v>
      </c>
      <c r="F5" s="5" t="s">
        <v>15</v>
      </c>
      <c r="G5" s="7">
        <v>1800</v>
      </c>
      <c r="H5" s="3">
        <f>IF(ISNUMBER(G5), INT((G5+ΡΥΘΜΙΣΕΙΣ!$B$5-1)/ΡΥΘΜΙΣΕΙΣ!$B$5), "")</f>
        <v>3</v>
      </c>
      <c r="I5" s="3" t="str">
        <f>IF(AND(ISNUMBER(G5), B5&lt;&gt;"", C5&lt;&gt;""), IF(SUMIFS($G$3:$G$102,$B$3:$B$102,B5,$C$3:$C$102,C5)&gt;ΡΥΘΜΙΣΕΙΣ!$B$8,"ΠΡΟΣΟΧΗ: ΥΠΕΡΒΑΣΗ ΧΩΡΗΤΙΚΟΤΗΤΑΣ","Σε αναμονή"), "")</f>
        <v>ΠΡΟΣΟΧΗ: ΥΠΕΡΒΑΣΗ ΧΩΡΗΤΙΚΟΤΗΤΑΣ</v>
      </c>
      <c r="J5" s="6"/>
    </row>
    <row r="6" spans="1:10" ht="19.5" customHeight="1">
      <c r="A6" s="3">
        <v>4</v>
      </c>
      <c r="B6" s="4">
        <v>46310</v>
      </c>
      <c r="C6" s="5" t="s">
        <v>14</v>
      </c>
      <c r="D6" s="25" t="s">
        <v>91</v>
      </c>
      <c r="E6" s="26" t="s">
        <v>95</v>
      </c>
      <c r="F6" s="5" t="s">
        <v>16</v>
      </c>
      <c r="G6" s="7">
        <v>2000</v>
      </c>
      <c r="H6" s="3">
        <f>IF(ISNUMBER(G6), INT((G6+ΡΥΘΜΙΣΕΙΣ!$B$5-1)/ΡΥΘΜΙΣΕΙΣ!$B$5), "")</f>
        <v>4</v>
      </c>
      <c r="I6" s="3" t="str">
        <f>IF(AND(ISNUMBER(G6), B6&lt;&gt;"", C6&lt;&gt;""), IF(SUMIFS($G$3:$G$102,$B$3:$B$102,B6,$C$3:$C$102,C6)&gt;ΡΥΘΜΙΣΕΙΣ!$B$8,"ΠΡΟΣΟΧΗ: ΥΠΕΡΒΑΣΗ ΧΩΡΗΤΙΚΟΤΗΤΑΣ","Σε αναμονή"), "")</f>
        <v>ΠΡΟΣΟΧΗ: ΥΠΕΡΒΑΣΗ ΧΩΡΗΤΙΚΟΤΗΤΑΣ</v>
      </c>
      <c r="J6" s="6"/>
    </row>
    <row r="7" spans="1:10" ht="19.5" customHeight="1">
      <c r="A7" s="3">
        <v>5</v>
      </c>
      <c r="B7" s="4">
        <v>46310</v>
      </c>
      <c r="C7" s="5" t="s">
        <v>14</v>
      </c>
      <c r="D7" s="25" t="s">
        <v>91</v>
      </c>
      <c r="E7" s="26" t="s">
        <v>95</v>
      </c>
      <c r="F7" s="5" t="s">
        <v>17</v>
      </c>
      <c r="G7" s="7">
        <v>1500</v>
      </c>
      <c r="H7" s="3">
        <f>IF(ISNUMBER(G7), INT((G7+ΡΥΘΜΙΣΕΙΣ!$B$5-1)/ΡΥΘΜΙΣΕΙΣ!$B$5), "")</f>
        <v>3</v>
      </c>
      <c r="I7" s="3" t="str">
        <f>IF(AND(ISNUMBER(G7), B7&lt;&gt;"", C7&lt;&gt;""), IF(SUMIFS($G$3:$G$102,$B$3:$B$102,B7,$C$3:$C$102,C7)&gt;ΡΥΘΜΙΣΕΙΣ!$B$8,"ΠΡΟΣΟΧΗ: ΥΠΕΡΒΑΣΗ ΧΩΡΗΤΙΚΟΤΗΤΑΣ","Σε αναμονή"), "")</f>
        <v>ΠΡΟΣΟΧΗ: ΥΠΕΡΒΑΣΗ ΧΩΡΗΤΙΚΟΤΗΤΑΣ</v>
      </c>
      <c r="J7" s="6"/>
    </row>
    <row r="8" spans="1:10" ht="19.5" customHeight="1">
      <c r="A8" s="3">
        <v>6</v>
      </c>
      <c r="B8" s="4">
        <v>46310</v>
      </c>
      <c r="C8" s="5" t="s">
        <v>18</v>
      </c>
      <c r="D8" s="25" t="s">
        <v>91</v>
      </c>
      <c r="E8" s="26" t="s">
        <v>95</v>
      </c>
      <c r="F8" s="5" t="s">
        <v>19</v>
      </c>
      <c r="G8" s="7">
        <v>600</v>
      </c>
      <c r="H8" s="3">
        <f>IF(ISNUMBER(G8), INT((G8+ΡΥΘΜΙΣΕΙΣ!$B$5-1)/ΡΥΘΜΙΣΕΙΣ!$B$5), "")</f>
        <v>1</v>
      </c>
      <c r="I8" s="3" t="str">
        <f>IF(AND(ISNUMBER(G8), B8&lt;&gt;"", C8&lt;&gt;""), IF(SUMIFS($G$3:$G$102,$B$3:$B$102,B8,$C$3:$C$102,C8)&gt;ΡΥΘΜΙΣΕΙΣ!$B$8,"ΠΡΟΣΟΧΗ: ΥΠΕΡΒΑΣΗ ΧΩΡΗΤΙΚΟΤΗΤΑΣ","Σε αναμονή"), "")</f>
        <v>Σε αναμονή</v>
      </c>
      <c r="J8" s="6"/>
    </row>
    <row r="9" spans="1:10" ht="19.5" customHeight="1">
      <c r="A9" s="3">
        <v>7</v>
      </c>
      <c r="B9" s="4">
        <v>46310</v>
      </c>
      <c r="C9" s="5" t="s">
        <v>20</v>
      </c>
      <c r="D9" s="25" t="s">
        <v>91</v>
      </c>
      <c r="E9" s="26" t="s">
        <v>95</v>
      </c>
      <c r="F9" s="5" t="s">
        <v>21</v>
      </c>
      <c r="G9" s="7">
        <v>4000</v>
      </c>
      <c r="H9" s="3">
        <f>IF(ISNUMBER(G9), INT((G9+ΡΥΘΜΙΣΕΙΣ!$B$5-1)/ΡΥΘΜΙΣΕΙΣ!$B$5), "")</f>
        <v>7</v>
      </c>
      <c r="I9" s="3" t="str">
        <f>IF(AND(ISNUMBER(G9), B9&lt;&gt;"", C9&lt;&gt;""), IF(SUMIFS($G$3:$G$102,$B$3:$B$102,B9,$C$3:$C$102,C9)&gt;ΡΥΘΜΙΣΕΙΣ!$B$8,"ΠΡΟΣΟΧΗ: ΥΠΕΡΒΑΣΗ ΧΩΡΗΤΙΚΟΤΗΤΑΣ","Σε αναμονή"), "")</f>
        <v>Σε αναμονή</v>
      </c>
      <c r="J9" s="6"/>
    </row>
    <row r="10" spans="1:10" ht="19.5" customHeight="1">
      <c r="A10" s="3">
        <v>8</v>
      </c>
      <c r="B10" s="4">
        <v>46310</v>
      </c>
      <c r="C10" s="5" t="s">
        <v>20</v>
      </c>
      <c r="D10" s="25" t="s">
        <v>91</v>
      </c>
      <c r="E10" s="26" t="s">
        <v>95</v>
      </c>
      <c r="F10" s="5"/>
      <c r="G10" s="7">
        <v>150</v>
      </c>
      <c r="H10" s="3">
        <f>IF(ISNUMBER(G10), INT((G10+ΡΥΘΜΙΣΕΙΣ!$B$5-1)/ΡΥΘΜΙΣΕΙΣ!$B$5), "")</f>
        <v>1</v>
      </c>
      <c r="I10" s="3" t="str">
        <f>IF(AND(ISNUMBER(G10), B10&lt;&gt;"", C10&lt;&gt;""), IF(SUMIFS($G$3:$G$102,$B$3:$B$102,B10,$C$3:$C$102,C10)&gt;ΡΥΘΜΙΣΕΙΣ!$B$8,"ΠΡΟΣΟΧΗ: ΥΠΕΡΒΑΣΗ ΧΩΡΗΤΙΚΟΤΗΤΑΣ","Σε αναμονή"), "")</f>
        <v>Σε αναμονή</v>
      </c>
      <c r="J10" s="6"/>
    </row>
    <row r="11" spans="1:10" ht="19.5" customHeight="1">
      <c r="A11" s="3">
        <v>9</v>
      </c>
      <c r="B11" s="4">
        <v>46311</v>
      </c>
      <c r="C11" s="5" t="s">
        <v>11</v>
      </c>
      <c r="D11" s="25" t="s">
        <v>91</v>
      </c>
      <c r="E11" s="26" t="s">
        <v>95</v>
      </c>
      <c r="F11" s="26" t="s">
        <v>90</v>
      </c>
      <c r="G11" s="7">
        <v>2200</v>
      </c>
      <c r="H11" s="3">
        <f>IF(ISNUMBER(G11), INT((G11+ΡΥΘΜΙΣΕΙΣ!$B$5-1)/ΡΥΘΜΙΣΕΙΣ!$B$5), "")</f>
        <v>4</v>
      </c>
      <c r="I11" s="3" t="str">
        <f>IF(AND(ISNUMBER(G11), B11&lt;&gt;"", C11&lt;&gt;""), IF(SUMIFS($G$3:$G$102,$B$3:$B$102,B11,$C$3:$C$102,C11)&gt;ΡΥΘΜΙΣΕΙΣ!$B$8,"ΠΡΟΣΟΧΗ: ΥΠΕΡΒΑΣΗ ΧΩΡΗΤΙΚΟΤΗΤΑΣ","Σε αναμονή"), "")</f>
        <v>Σε αναμονή</v>
      </c>
      <c r="J11" s="6"/>
    </row>
    <row r="12" spans="1:10" ht="19.5" customHeight="1">
      <c r="A12" s="3">
        <v>10</v>
      </c>
      <c r="B12" s="4">
        <v>46311</v>
      </c>
      <c r="C12" s="5" t="s">
        <v>11</v>
      </c>
      <c r="D12" s="25" t="s">
        <v>91</v>
      </c>
      <c r="E12" s="26" t="s">
        <v>95</v>
      </c>
      <c r="F12" s="26" t="s">
        <v>92</v>
      </c>
      <c r="G12" s="7">
        <v>1000</v>
      </c>
      <c r="H12" s="3">
        <f>IF(ISNUMBER(G12), INT((G12+ΡΥΘΜΙΣΕΙΣ!$B$5-1)/ΡΥΘΜΙΣΕΙΣ!$B$5), "")</f>
        <v>2</v>
      </c>
      <c r="I12" s="3" t="str">
        <f>IF(AND(ISNUMBER(G12), B12&lt;&gt;"", C12&lt;&gt;""), IF(SUMIFS($G$3:$G$102,$B$3:$B$102,B12,$C$3:$C$102,C12)&gt;ΡΥΘΜΙΣΕΙΣ!$B$8,"ΠΡΟΣΟΧΗ: ΥΠΕΡΒΑΣΗ ΧΩΡΗΤΙΚΟΤΗΤΑΣ","Σε αναμονή"), "")</f>
        <v>Σε αναμονή</v>
      </c>
      <c r="J12" s="6"/>
    </row>
    <row r="13" spans="1:10" ht="19.5" customHeight="1">
      <c r="A13" s="3">
        <v>11</v>
      </c>
      <c r="B13" s="4">
        <v>46312</v>
      </c>
      <c r="C13" s="5" t="s">
        <v>14</v>
      </c>
      <c r="D13" s="25" t="s">
        <v>91</v>
      </c>
      <c r="E13" s="26" t="s">
        <v>95</v>
      </c>
      <c r="F13" s="26" t="s">
        <v>93</v>
      </c>
      <c r="G13" s="7">
        <v>1450</v>
      </c>
      <c r="H13" s="3">
        <f>IF(ISNUMBER(G13), INT((G13+ΡΥΘΜΙΣΕΙΣ!$B$5-1)/ΡΥΘΜΙΣΕΙΣ!$B$5), "")</f>
        <v>3</v>
      </c>
      <c r="I13" s="3" t="str">
        <f>IF(AND(ISNUMBER(G13), B13&lt;&gt;"", C13&lt;&gt;""), IF(SUMIFS($G$3:$G$102,$B$3:$B$102,B13,$C$3:$C$102,C13)&gt;ΡΥΘΜΙΣΕΙΣ!$B$8,"ΠΡΟΣΟΧΗ: ΥΠΕΡΒΑΣΗ ΧΩΡΗΤΙΚΟΤΗΤΑΣ","Σε αναμονή"), "")</f>
        <v>Σε αναμονή</v>
      </c>
      <c r="J13" s="6"/>
    </row>
    <row r="14" spans="1:10" ht="19.5" customHeight="1">
      <c r="A14" s="3">
        <v>12</v>
      </c>
      <c r="B14" s="4">
        <v>46312</v>
      </c>
      <c r="C14" s="5" t="s">
        <v>18</v>
      </c>
      <c r="D14" s="25" t="s">
        <v>91</v>
      </c>
      <c r="E14" s="26" t="s">
        <v>95</v>
      </c>
      <c r="F14" s="26" t="s">
        <v>94</v>
      </c>
      <c r="G14" s="7">
        <v>4000</v>
      </c>
      <c r="H14" s="3">
        <f>IF(ISNUMBER(G14), INT((G14+ΡΥΘΜΙΣΕΙΣ!$B$5-1)/ΡΥΘΜΙΣΕΙΣ!$B$5), "")</f>
        <v>7</v>
      </c>
      <c r="I14" s="3" t="str">
        <f>IF(AND(ISNUMBER(G14), B14&lt;&gt;"", C14&lt;&gt;""), IF(SUMIFS($G$3:$G$102,$B$3:$B$102,B14,$C$3:$C$102,C14)&gt;ΡΥΘΜΙΣΕΙΣ!$B$8,"ΠΡΟΣΟΧΗ: ΥΠΕΡΒΑΣΗ ΧΩΡΗΤΙΚΟΤΗΤΑΣ","Σε αναμονή"), "")</f>
        <v>Σε αναμονή</v>
      </c>
      <c r="J14" s="6"/>
    </row>
    <row r="15" spans="1:10" ht="19.5" customHeight="1">
      <c r="A15" s="3">
        <v>13</v>
      </c>
      <c r="B15" s="4"/>
      <c r="C15" s="5"/>
      <c r="D15" s="6"/>
      <c r="E15" s="5"/>
      <c r="F15" s="5"/>
      <c r="G15" s="7"/>
      <c r="H15" s="3" t="str">
        <f>IF(ISNUMBER(G15), INT((G15+ΡΥΘΜΙΣΕΙΣ!$B$5-1)/ΡΥΘΜΙΣΕΙΣ!$B$5), "")</f>
        <v/>
      </c>
      <c r="I15" s="3" t="str">
        <f>IF(AND(ISNUMBER(G15), B15&lt;&gt;"", C15&lt;&gt;""), IF(SUMIFS($G$3:$G$102,$B$3:$B$102,B15,$C$3:$C$102,C15)&gt;ΡΥΘΜΙΣΕΙΣ!$B$8,"ΠΡΟΣΟΧΗ: ΥΠΕΡΒΑΣΗ ΧΩΡΗΤΙΚΟΤΗΤΑΣ","Σε αναμονή"), "")</f>
        <v/>
      </c>
      <c r="J15" s="6"/>
    </row>
    <row r="16" spans="1:10" ht="19.5" customHeight="1">
      <c r="A16" s="3">
        <v>14</v>
      </c>
      <c r="B16" s="4"/>
      <c r="C16" s="5"/>
      <c r="D16" s="6"/>
      <c r="E16" s="5"/>
      <c r="F16" s="5"/>
      <c r="G16" s="7"/>
      <c r="H16" s="3" t="str">
        <f>IF(ISNUMBER(G16), INT((G16+ΡΥΘΜΙΣΕΙΣ!$B$5-1)/ΡΥΘΜΙΣΕΙΣ!$B$5), "")</f>
        <v/>
      </c>
      <c r="I16" s="3" t="str">
        <f>IF(AND(ISNUMBER(G16), B16&lt;&gt;"", C16&lt;&gt;""), IF(SUMIFS($G$3:$G$102,$B$3:$B$102,B16,$C$3:$C$102,C16)&gt;ΡΥΘΜΙΣΕΙΣ!$B$8,"ΠΡΟΣΟΧΗ: ΥΠΕΡΒΑΣΗ ΧΩΡΗΤΙΚΟΤΗΤΑΣ","Σε αναμονή"), "")</f>
        <v/>
      </c>
      <c r="J16" s="6"/>
    </row>
    <row r="17" spans="1:10" ht="19.5" customHeight="1">
      <c r="A17" s="3">
        <v>15</v>
      </c>
      <c r="B17" s="4"/>
      <c r="C17" s="5"/>
      <c r="D17" s="6"/>
      <c r="E17" s="5"/>
      <c r="F17" s="5"/>
      <c r="G17" s="7"/>
      <c r="H17" s="3" t="str">
        <f>IF(ISNUMBER(G17), INT((G17+ΡΥΘΜΙΣΕΙΣ!$B$5-1)/ΡΥΘΜΙΣΕΙΣ!$B$5), "")</f>
        <v/>
      </c>
      <c r="I17" s="3" t="str">
        <f>IF(AND(ISNUMBER(G17), B17&lt;&gt;"", C17&lt;&gt;""), IF(SUMIFS($G$3:$G$102,$B$3:$B$102,B17,$C$3:$C$102,C17)&gt;ΡΥΘΜΙΣΕΙΣ!$B$8,"ΠΡΟΣΟΧΗ: ΥΠΕΡΒΑΣΗ ΧΩΡΗΤΙΚΟΤΗΤΑΣ","Σε αναμονή"), "")</f>
        <v/>
      </c>
      <c r="J17" s="6"/>
    </row>
    <row r="18" spans="1:10" ht="19.5" customHeight="1">
      <c r="A18" s="3">
        <v>16</v>
      </c>
      <c r="B18" s="4"/>
      <c r="C18" s="5"/>
      <c r="D18" s="6"/>
      <c r="E18" s="5"/>
      <c r="F18" s="5"/>
      <c r="G18" s="7"/>
      <c r="H18" s="3" t="str">
        <f>IF(ISNUMBER(G18), INT((G18+ΡΥΘΜΙΣΕΙΣ!$B$5-1)/ΡΥΘΜΙΣΕΙΣ!$B$5), "")</f>
        <v/>
      </c>
      <c r="I18" s="3" t="str">
        <f>IF(AND(ISNUMBER(G18), B18&lt;&gt;"", C18&lt;&gt;""), IF(SUMIFS($G$3:$G$102,$B$3:$B$102,B18,$C$3:$C$102,C18)&gt;ΡΥΘΜΙΣΕΙΣ!$B$8,"ΠΡΟΣΟΧΗ: ΥΠΕΡΒΑΣΗ ΧΩΡΗΤΙΚΟΤΗΤΑΣ","Σε αναμονή"), "")</f>
        <v/>
      </c>
      <c r="J18" s="6"/>
    </row>
    <row r="19" spans="1:10" ht="19.5" customHeight="1">
      <c r="A19" s="3">
        <v>17</v>
      </c>
      <c r="B19" s="4"/>
      <c r="C19" s="5"/>
      <c r="D19" s="6"/>
      <c r="E19" s="5"/>
      <c r="F19" s="5"/>
      <c r="G19" s="7"/>
      <c r="H19" s="3" t="str">
        <f>IF(ISNUMBER(G19), INT((G19+ΡΥΘΜΙΣΕΙΣ!$B$5-1)/ΡΥΘΜΙΣΕΙΣ!$B$5), "")</f>
        <v/>
      </c>
      <c r="I19" s="3" t="str">
        <f>IF(AND(ISNUMBER(G19), B19&lt;&gt;"", C19&lt;&gt;""), IF(SUMIFS($G$3:$G$102,$B$3:$B$102,B19,$C$3:$C$102,C19)&gt;ΡΥΘΜΙΣΕΙΣ!$B$8,"ΠΡΟΣΟΧΗ: ΥΠΕΡΒΑΣΗ ΧΩΡΗΤΙΚΟΤΗΤΑΣ","Σε αναμονή"), "")</f>
        <v/>
      </c>
      <c r="J19" s="6"/>
    </row>
    <row r="20" spans="1:10" ht="19.5" customHeight="1">
      <c r="A20" s="3">
        <v>18</v>
      </c>
      <c r="B20" s="4"/>
      <c r="C20" s="5"/>
      <c r="D20" s="6"/>
      <c r="E20" s="5"/>
      <c r="F20" s="5"/>
      <c r="G20" s="7"/>
      <c r="H20" s="3" t="str">
        <f>IF(ISNUMBER(G20), INT((G20+ΡΥΘΜΙΣΕΙΣ!$B$5-1)/ΡΥΘΜΙΣΕΙΣ!$B$5), "")</f>
        <v/>
      </c>
      <c r="I20" s="3" t="str">
        <f>IF(AND(ISNUMBER(G20), B20&lt;&gt;"", C20&lt;&gt;""), IF(SUMIFS($G$3:$G$102,$B$3:$B$102,B20,$C$3:$C$102,C20)&gt;ΡΥΘΜΙΣΕΙΣ!$B$8,"ΠΡΟΣΟΧΗ: ΥΠΕΡΒΑΣΗ ΧΩΡΗΤΙΚΟΤΗΤΑΣ","Σε αναμονή"), "")</f>
        <v/>
      </c>
      <c r="J20" s="6"/>
    </row>
    <row r="21" spans="1:10" ht="19.5" customHeight="1">
      <c r="A21" s="3">
        <v>19</v>
      </c>
      <c r="B21" s="4"/>
      <c r="C21" s="5"/>
      <c r="D21" s="6"/>
      <c r="E21" s="5"/>
      <c r="F21" s="5"/>
      <c r="G21" s="7"/>
      <c r="H21" s="3" t="str">
        <f>IF(ISNUMBER(G21), INT((G21+ΡΥΘΜΙΣΕΙΣ!$B$5-1)/ΡΥΘΜΙΣΕΙΣ!$B$5), "")</f>
        <v/>
      </c>
      <c r="I21" s="3" t="str">
        <f>IF(AND(ISNUMBER(G21), B21&lt;&gt;"", C21&lt;&gt;""), IF(SUMIFS($G$3:$G$102,$B$3:$B$102,B21,$C$3:$C$102,C21)&gt;ΡΥΘΜΙΣΕΙΣ!$B$8,"ΠΡΟΣΟΧΗ: ΥΠΕΡΒΑΣΗ ΧΩΡΗΤΙΚΟΤΗΤΑΣ","Σε αναμονή"), "")</f>
        <v/>
      </c>
      <c r="J21" s="6"/>
    </row>
    <row r="22" spans="1:10" ht="19.5" customHeight="1">
      <c r="A22" s="3">
        <v>20</v>
      </c>
      <c r="B22" s="4"/>
      <c r="C22" s="5"/>
      <c r="D22" s="6"/>
      <c r="E22" s="5"/>
      <c r="F22" s="5"/>
      <c r="G22" s="7"/>
      <c r="H22" s="3" t="str">
        <f>IF(ISNUMBER(G22), INT((G22+ΡΥΘΜΙΣΕΙΣ!$B$5-1)/ΡΥΘΜΙΣΕΙΣ!$B$5), "")</f>
        <v/>
      </c>
      <c r="I22" s="3" t="str">
        <f>IF(AND(ISNUMBER(G22), B22&lt;&gt;"", C22&lt;&gt;""), IF(SUMIFS($G$3:$G$102,$B$3:$B$102,B22,$C$3:$C$102,C22)&gt;ΡΥΘΜΙΣΕΙΣ!$B$8,"ΠΡΟΣΟΧΗ: ΥΠΕΡΒΑΣΗ ΧΩΡΗΤΙΚΟΤΗΤΑΣ","Σε αναμονή"), "")</f>
        <v/>
      </c>
      <c r="J22" s="6"/>
    </row>
    <row r="23" spans="1:10" ht="19.5" customHeight="1">
      <c r="A23" s="3">
        <v>21</v>
      </c>
      <c r="B23" s="4"/>
      <c r="C23" s="5"/>
      <c r="D23" s="6"/>
      <c r="E23" s="5"/>
      <c r="F23" s="5"/>
      <c r="G23" s="7"/>
      <c r="H23" s="3" t="str">
        <f>IF(ISNUMBER(G23), INT((G23+ΡΥΘΜΙΣΕΙΣ!$B$5-1)/ΡΥΘΜΙΣΕΙΣ!$B$5), "")</f>
        <v/>
      </c>
      <c r="I23" s="3" t="str">
        <f>IF(AND(ISNUMBER(G23), B23&lt;&gt;"", C23&lt;&gt;""), IF(SUMIFS($G$3:$G$102,$B$3:$B$102,B23,$C$3:$C$102,C23)&gt;ΡΥΘΜΙΣΕΙΣ!$B$8,"ΠΡΟΣΟΧΗ: ΥΠΕΡΒΑΣΗ ΧΩΡΗΤΙΚΟΤΗΤΑΣ","Σε αναμονή"), "")</f>
        <v/>
      </c>
      <c r="J23" s="6"/>
    </row>
    <row r="24" spans="1:10" ht="19.5" customHeight="1">
      <c r="A24" s="3">
        <v>22</v>
      </c>
      <c r="B24" s="4"/>
      <c r="C24" s="5"/>
      <c r="D24" s="6"/>
      <c r="E24" s="5"/>
      <c r="F24" s="5"/>
      <c r="G24" s="7"/>
      <c r="H24" s="3" t="str">
        <f>IF(ISNUMBER(G24), INT((G24+ΡΥΘΜΙΣΕΙΣ!$B$5-1)/ΡΥΘΜΙΣΕΙΣ!$B$5), "")</f>
        <v/>
      </c>
      <c r="I24" s="3" t="str">
        <f>IF(AND(ISNUMBER(G24), B24&lt;&gt;"", C24&lt;&gt;""), IF(SUMIFS($G$3:$G$102,$B$3:$B$102,B24,$C$3:$C$102,C24)&gt;ΡΥΘΜΙΣΕΙΣ!$B$8,"ΠΡΟΣΟΧΗ: ΥΠΕΡΒΑΣΗ ΧΩΡΗΤΙΚΟΤΗΤΑΣ","Σε αναμονή"), "")</f>
        <v/>
      </c>
      <c r="J24" s="6"/>
    </row>
    <row r="25" spans="1:10" ht="19.5" customHeight="1">
      <c r="A25" s="3">
        <v>23</v>
      </c>
      <c r="B25" s="4"/>
      <c r="C25" s="5"/>
      <c r="D25" s="6"/>
      <c r="E25" s="5"/>
      <c r="F25" s="5"/>
      <c r="G25" s="7"/>
      <c r="H25" s="3" t="str">
        <f>IF(ISNUMBER(G25), INT((G25+ΡΥΘΜΙΣΕΙΣ!$B$5-1)/ΡΥΘΜΙΣΕΙΣ!$B$5), "")</f>
        <v/>
      </c>
      <c r="I25" s="3" t="str">
        <f>IF(AND(ISNUMBER(G25), B25&lt;&gt;"", C25&lt;&gt;""), IF(SUMIFS($G$3:$G$102,$B$3:$B$102,B25,$C$3:$C$102,C25)&gt;ΡΥΘΜΙΣΕΙΣ!$B$8,"ΠΡΟΣΟΧΗ: ΥΠΕΡΒΑΣΗ ΧΩΡΗΤΙΚΟΤΗΤΑΣ","Σε αναμονή"), "")</f>
        <v/>
      </c>
      <c r="J25" s="6"/>
    </row>
    <row r="26" spans="1:10" ht="19.5" customHeight="1">
      <c r="A26" s="3">
        <v>24</v>
      </c>
      <c r="B26" s="4"/>
      <c r="C26" s="5"/>
      <c r="D26" s="6"/>
      <c r="E26" s="5"/>
      <c r="F26" s="5"/>
      <c r="G26" s="7"/>
      <c r="H26" s="3" t="str">
        <f>IF(ISNUMBER(G26), INT((G26+ΡΥΘΜΙΣΕΙΣ!$B$5-1)/ΡΥΘΜΙΣΕΙΣ!$B$5), "")</f>
        <v/>
      </c>
      <c r="I26" s="3" t="str">
        <f>IF(AND(ISNUMBER(G26), B26&lt;&gt;"", C26&lt;&gt;""), IF(SUMIFS($G$3:$G$102,$B$3:$B$102,B26,$C$3:$C$102,C26)&gt;ΡΥΘΜΙΣΕΙΣ!$B$8,"ΠΡΟΣΟΧΗ: ΥΠΕΡΒΑΣΗ ΧΩΡΗΤΙΚΟΤΗΤΑΣ","Σε αναμονή"), "")</f>
        <v/>
      </c>
      <c r="J26" s="6"/>
    </row>
    <row r="27" spans="1:10" ht="19.5" customHeight="1">
      <c r="A27" s="3">
        <v>25</v>
      </c>
      <c r="B27" s="4"/>
      <c r="C27" s="5"/>
      <c r="D27" s="6"/>
      <c r="E27" s="5"/>
      <c r="F27" s="5"/>
      <c r="G27" s="7"/>
      <c r="H27" s="3" t="str">
        <f>IF(ISNUMBER(G27), INT((G27+ΡΥΘΜΙΣΕΙΣ!$B$5-1)/ΡΥΘΜΙΣΕΙΣ!$B$5), "")</f>
        <v/>
      </c>
      <c r="I27" s="3" t="str">
        <f>IF(AND(ISNUMBER(G27), B27&lt;&gt;"", C27&lt;&gt;""), IF(SUMIFS($G$3:$G$102,$B$3:$B$102,B27,$C$3:$C$102,C27)&gt;ΡΥΘΜΙΣΕΙΣ!$B$8,"ΠΡΟΣΟΧΗ: ΥΠΕΡΒΑΣΗ ΧΩΡΗΤΙΚΟΤΗΤΑΣ","Σε αναμονή"), "")</f>
        <v/>
      </c>
      <c r="J27" s="6"/>
    </row>
    <row r="28" spans="1:10" ht="19.5" customHeight="1">
      <c r="A28" s="3">
        <v>26</v>
      </c>
      <c r="B28" s="4"/>
      <c r="C28" s="5"/>
      <c r="D28" s="6"/>
      <c r="E28" s="5"/>
      <c r="F28" s="5"/>
      <c r="G28" s="7"/>
      <c r="H28" s="3" t="str">
        <f>IF(ISNUMBER(G28), INT((G28+ΡΥΘΜΙΣΕΙΣ!$B$5-1)/ΡΥΘΜΙΣΕΙΣ!$B$5), "")</f>
        <v/>
      </c>
      <c r="I28" s="3" t="str">
        <f>IF(AND(ISNUMBER(G28), B28&lt;&gt;"", C28&lt;&gt;""), IF(SUMIFS($G$3:$G$102,$B$3:$B$102,B28,$C$3:$C$102,C28)&gt;ΡΥΘΜΙΣΕΙΣ!$B$8,"ΠΡΟΣΟΧΗ: ΥΠΕΡΒΑΣΗ ΧΩΡΗΤΙΚΟΤΗΤΑΣ","Σε αναμονή"), "")</f>
        <v/>
      </c>
      <c r="J28" s="6"/>
    </row>
    <row r="29" spans="1:10" ht="19.5" customHeight="1">
      <c r="A29" s="3">
        <v>27</v>
      </c>
      <c r="B29" s="4"/>
      <c r="C29" s="5"/>
      <c r="D29" s="6"/>
      <c r="E29" s="5"/>
      <c r="F29" s="5"/>
      <c r="G29" s="7"/>
      <c r="H29" s="3" t="str">
        <f>IF(ISNUMBER(G29), INT((G29+ΡΥΘΜΙΣΕΙΣ!$B$5-1)/ΡΥΘΜΙΣΕΙΣ!$B$5), "")</f>
        <v/>
      </c>
      <c r="I29" s="3" t="str">
        <f>IF(AND(ISNUMBER(G29), B29&lt;&gt;"", C29&lt;&gt;""), IF(SUMIFS($G$3:$G$102,$B$3:$B$102,B29,$C$3:$C$102,C29)&gt;ΡΥΘΜΙΣΕΙΣ!$B$8,"ΠΡΟΣΟΧΗ: ΥΠΕΡΒΑΣΗ ΧΩΡΗΤΙΚΟΤΗΤΑΣ","Σε αναμονή"), "")</f>
        <v/>
      </c>
      <c r="J29" s="6"/>
    </row>
    <row r="30" spans="1:10" ht="19.5" customHeight="1">
      <c r="A30" s="3">
        <v>28</v>
      </c>
      <c r="B30" s="4"/>
      <c r="C30" s="5"/>
      <c r="D30" s="6"/>
      <c r="E30" s="5"/>
      <c r="F30" s="5"/>
      <c r="G30" s="7"/>
      <c r="H30" s="3" t="str">
        <f>IF(ISNUMBER(G30), INT((G30+ΡΥΘΜΙΣΕΙΣ!$B$5-1)/ΡΥΘΜΙΣΕΙΣ!$B$5), "")</f>
        <v/>
      </c>
      <c r="I30" s="3" t="str">
        <f>IF(AND(ISNUMBER(G30), B30&lt;&gt;"", C30&lt;&gt;""), IF(SUMIFS($G$3:$G$102,$B$3:$B$102,B30,$C$3:$C$102,C30)&gt;ΡΥΘΜΙΣΕΙΣ!$B$8,"ΠΡΟΣΟΧΗ: ΥΠΕΡΒΑΣΗ ΧΩΡΗΤΙΚΟΤΗΤΑΣ","Σε αναμονή"), "")</f>
        <v/>
      </c>
      <c r="J30" s="6"/>
    </row>
    <row r="31" spans="1:10" ht="19.5" customHeight="1">
      <c r="A31" s="3">
        <v>29</v>
      </c>
      <c r="B31" s="4"/>
      <c r="C31" s="5"/>
      <c r="D31" s="6"/>
      <c r="E31" s="5"/>
      <c r="F31" s="5"/>
      <c r="G31" s="7"/>
      <c r="H31" s="3" t="str">
        <f>IF(ISNUMBER(G31), INT((G31+ΡΥΘΜΙΣΕΙΣ!$B$5-1)/ΡΥΘΜΙΣΕΙΣ!$B$5), "")</f>
        <v/>
      </c>
      <c r="I31" s="3" t="str">
        <f>IF(AND(ISNUMBER(G31), B31&lt;&gt;"", C31&lt;&gt;""), IF(SUMIFS($G$3:$G$102,$B$3:$B$102,B31,$C$3:$C$102,C31)&gt;ΡΥΘΜΙΣΕΙΣ!$B$8,"ΠΡΟΣΟΧΗ: ΥΠΕΡΒΑΣΗ ΧΩΡΗΤΙΚΟΤΗΤΑΣ","Σε αναμονή"), "")</f>
        <v/>
      </c>
      <c r="J31" s="6"/>
    </row>
    <row r="32" spans="1:10" ht="19.5" customHeight="1">
      <c r="A32" s="3">
        <v>30</v>
      </c>
      <c r="B32" s="4"/>
      <c r="C32" s="5"/>
      <c r="D32" s="6"/>
      <c r="E32" s="5"/>
      <c r="F32" s="5"/>
      <c r="G32" s="7"/>
      <c r="H32" s="3" t="str">
        <f>IF(ISNUMBER(G32), INT((G32+ΡΥΘΜΙΣΕΙΣ!$B$5-1)/ΡΥΘΜΙΣΕΙΣ!$B$5), "")</f>
        <v/>
      </c>
      <c r="I32" s="3" t="str">
        <f>IF(AND(ISNUMBER(G32), B32&lt;&gt;"", C32&lt;&gt;""), IF(SUMIFS($G$3:$G$102,$B$3:$B$102,B32,$C$3:$C$102,C32)&gt;ΡΥΘΜΙΣΕΙΣ!$B$8,"ΠΡΟΣΟΧΗ: ΥΠΕΡΒΑΣΗ ΧΩΡΗΤΙΚΟΤΗΤΑΣ","Σε αναμονή"), "")</f>
        <v/>
      </c>
      <c r="J32" s="6"/>
    </row>
    <row r="33" spans="1:10" ht="19.5" customHeight="1">
      <c r="A33" s="3">
        <v>31</v>
      </c>
      <c r="B33" s="4"/>
      <c r="C33" s="5"/>
      <c r="D33" s="6"/>
      <c r="E33" s="5"/>
      <c r="F33" s="5"/>
      <c r="G33" s="7"/>
      <c r="H33" s="3" t="str">
        <f>IF(ISNUMBER(G33), INT((G33+ΡΥΘΜΙΣΕΙΣ!$B$5-1)/ΡΥΘΜΙΣΕΙΣ!$B$5), "")</f>
        <v/>
      </c>
      <c r="I33" s="3" t="str">
        <f>IF(AND(ISNUMBER(G33), B33&lt;&gt;"", C33&lt;&gt;""), IF(SUMIFS($G$3:$G$102,$B$3:$B$102,B33,$C$3:$C$102,C33)&gt;ΡΥΘΜΙΣΕΙΣ!$B$8,"ΠΡΟΣΟΧΗ: ΥΠΕΡΒΑΣΗ ΧΩΡΗΤΙΚΟΤΗΤΑΣ","Σε αναμονή"), "")</f>
        <v/>
      </c>
      <c r="J33" s="6"/>
    </row>
    <row r="34" spans="1:10" ht="19.5" customHeight="1">
      <c r="A34" s="3">
        <v>32</v>
      </c>
      <c r="B34" s="4"/>
      <c r="C34" s="5"/>
      <c r="D34" s="6"/>
      <c r="E34" s="5"/>
      <c r="F34" s="5"/>
      <c r="G34" s="7"/>
      <c r="H34" s="3" t="str">
        <f>IF(ISNUMBER(G34), INT((G34+ΡΥΘΜΙΣΕΙΣ!$B$5-1)/ΡΥΘΜΙΣΕΙΣ!$B$5), "")</f>
        <v/>
      </c>
      <c r="I34" s="3" t="str">
        <f>IF(AND(ISNUMBER(G34), B34&lt;&gt;"", C34&lt;&gt;""), IF(SUMIFS($G$3:$G$102,$B$3:$B$102,B34,$C$3:$C$102,C34)&gt;ΡΥΘΜΙΣΕΙΣ!$B$8,"ΠΡΟΣΟΧΗ: ΥΠΕΡΒΑΣΗ ΧΩΡΗΤΙΚΟΤΗΤΑΣ","Σε αναμονή"), "")</f>
        <v/>
      </c>
      <c r="J34" s="6"/>
    </row>
    <row r="35" spans="1:10" ht="19.5" customHeight="1">
      <c r="A35" s="3">
        <v>33</v>
      </c>
      <c r="B35" s="4"/>
      <c r="C35" s="5"/>
      <c r="D35" s="6"/>
      <c r="E35" s="5"/>
      <c r="F35" s="5"/>
      <c r="G35" s="7"/>
      <c r="H35" s="3" t="str">
        <f>IF(ISNUMBER(G35), INT((G35+ΡΥΘΜΙΣΕΙΣ!$B$5-1)/ΡΥΘΜΙΣΕΙΣ!$B$5), "")</f>
        <v/>
      </c>
      <c r="I35" s="3" t="str">
        <f>IF(AND(ISNUMBER(G35), B35&lt;&gt;"", C35&lt;&gt;""), IF(SUMIFS($G$3:$G$102,$B$3:$B$102,B35,$C$3:$C$102,C35)&gt;ΡΥΘΜΙΣΕΙΣ!$B$8,"ΠΡΟΣΟΧΗ: ΥΠΕΡΒΑΣΗ ΧΩΡΗΤΙΚΟΤΗΤΑΣ","Σε αναμονή"), "")</f>
        <v/>
      </c>
      <c r="J35" s="6"/>
    </row>
    <row r="36" spans="1:10" ht="19.5" customHeight="1">
      <c r="A36" s="3">
        <v>34</v>
      </c>
      <c r="B36" s="4"/>
      <c r="C36" s="5"/>
      <c r="D36" s="6"/>
      <c r="E36" s="5"/>
      <c r="F36" s="5"/>
      <c r="G36" s="7"/>
      <c r="H36" s="3" t="str">
        <f>IF(ISNUMBER(G36), INT((G36+ΡΥΘΜΙΣΕΙΣ!$B$5-1)/ΡΥΘΜΙΣΕΙΣ!$B$5), "")</f>
        <v/>
      </c>
      <c r="I36" s="3" t="str">
        <f>IF(AND(ISNUMBER(G36), B36&lt;&gt;"", C36&lt;&gt;""), IF(SUMIFS($G$3:$G$102,$B$3:$B$102,B36,$C$3:$C$102,C36)&gt;ΡΥΘΜΙΣΕΙΣ!$B$8,"ΠΡΟΣΟΧΗ: ΥΠΕΡΒΑΣΗ ΧΩΡΗΤΙΚΟΤΗΤΑΣ","Σε αναμονή"), "")</f>
        <v/>
      </c>
      <c r="J36" s="6"/>
    </row>
    <row r="37" spans="1:10" ht="19.5" customHeight="1">
      <c r="A37" s="3">
        <v>35</v>
      </c>
      <c r="B37" s="4"/>
      <c r="C37" s="5"/>
      <c r="D37" s="6"/>
      <c r="E37" s="5"/>
      <c r="F37" s="5"/>
      <c r="G37" s="7"/>
      <c r="H37" s="3" t="str">
        <f>IF(ISNUMBER(G37), INT((G37+ΡΥΘΜΙΣΕΙΣ!$B$5-1)/ΡΥΘΜΙΣΕΙΣ!$B$5), "")</f>
        <v/>
      </c>
      <c r="I37" s="3" t="str">
        <f>IF(AND(ISNUMBER(G37), B37&lt;&gt;"", C37&lt;&gt;""), IF(SUMIFS($G$3:$G$102,$B$3:$B$102,B37,$C$3:$C$102,C37)&gt;ΡΥΘΜΙΣΕΙΣ!$B$8,"ΠΡΟΣΟΧΗ: ΥΠΕΡΒΑΣΗ ΧΩΡΗΤΙΚΟΤΗΤΑΣ","Σε αναμονή"), "")</f>
        <v/>
      </c>
      <c r="J37" s="6"/>
    </row>
    <row r="38" spans="1:10" ht="19.5" customHeight="1">
      <c r="A38" s="3">
        <v>36</v>
      </c>
      <c r="B38" s="4"/>
      <c r="C38" s="5"/>
      <c r="D38" s="6"/>
      <c r="E38" s="5"/>
      <c r="F38" s="5"/>
      <c r="G38" s="7"/>
      <c r="H38" s="3" t="str">
        <f>IF(ISNUMBER(G38), INT((G38+ΡΥΘΜΙΣΕΙΣ!$B$5-1)/ΡΥΘΜΙΣΕΙΣ!$B$5), "")</f>
        <v/>
      </c>
      <c r="I38" s="3" t="str">
        <f>IF(AND(ISNUMBER(G38), B38&lt;&gt;"", C38&lt;&gt;""), IF(SUMIFS($G$3:$G$102,$B$3:$B$102,B38,$C$3:$C$102,C38)&gt;ΡΥΘΜΙΣΕΙΣ!$B$8,"ΠΡΟΣΟΧΗ: ΥΠΕΡΒΑΣΗ ΧΩΡΗΤΙΚΟΤΗΤΑΣ","Σε αναμονή"), "")</f>
        <v/>
      </c>
      <c r="J38" s="6"/>
    </row>
    <row r="39" spans="1:10" ht="19.5" customHeight="1">
      <c r="A39" s="3">
        <v>37</v>
      </c>
      <c r="B39" s="4"/>
      <c r="C39" s="5"/>
      <c r="D39" s="6"/>
      <c r="E39" s="5"/>
      <c r="F39" s="5"/>
      <c r="G39" s="7"/>
      <c r="H39" s="3" t="str">
        <f>IF(ISNUMBER(G39), INT((G39+ΡΥΘΜΙΣΕΙΣ!$B$5-1)/ΡΥΘΜΙΣΕΙΣ!$B$5), "")</f>
        <v/>
      </c>
      <c r="I39" s="3" t="str">
        <f>IF(AND(ISNUMBER(G39), B39&lt;&gt;"", C39&lt;&gt;""), IF(SUMIFS($G$3:$G$102,$B$3:$B$102,B39,$C$3:$C$102,C39)&gt;ΡΥΘΜΙΣΕΙΣ!$B$8,"ΠΡΟΣΟΧΗ: ΥΠΕΡΒΑΣΗ ΧΩΡΗΤΙΚΟΤΗΤΑΣ","Σε αναμονή"), "")</f>
        <v/>
      </c>
      <c r="J39" s="6"/>
    </row>
    <row r="40" spans="1:10" ht="19.5" customHeight="1">
      <c r="A40" s="3">
        <v>38</v>
      </c>
      <c r="B40" s="4"/>
      <c r="C40" s="5"/>
      <c r="D40" s="6"/>
      <c r="E40" s="5"/>
      <c r="F40" s="5"/>
      <c r="G40" s="7"/>
      <c r="H40" s="3" t="str">
        <f>IF(ISNUMBER(G40), INT((G40+ΡΥΘΜΙΣΕΙΣ!$B$5-1)/ΡΥΘΜΙΣΕΙΣ!$B$5), "")</f>
        <v/>
      </c>
      <c r="I40" s="3" t="str">
        <f>IF(AND(ISNUMBER(G40), B40&lt;&gt;"", C40&lt;&gt;""), IF(SUMIFS($G$3:$G$102,$B$3:$B$102,B40,$C$3:$C$102,C40)&gt;ΡΥΘΜΙΣΕΙΣ!$B$8,"ΠΡΟΣΟΧΗ: ΥΠΕΡΒΑΣΗ ΧΩΡΗΤΙΚΟΤΗΤΑΣ","Σε αναμονή"), "")</f>
        <v/>
      </c>
      <c r="J40" s="6"/>
    </row>
    <row r="41" spans="1:10" ht="19.5" customHeight="1">
      <c r="A41" s="3">
        <v>39</v>
      </c>
      <c r="B41" s="4"/>
      <c r="C41" s="5"/>
      <c r="D41" s="6"/>
      <c r="E41" s="5"/>
      <c r="F41" s="5"/>
      <c r="G41" s="7"/>
      <c r="H41" s="3" t="str">
        <f>IF(ISNUMBER(G41), INT((G41+ΡΥΘΜΙΣΕΙΣ!$B$5-1)/ΡΥΘΜΙΣΕΙΣ!$B$5), "")</f>
        <v/>
      </c>
      <c r="I41" s="3" t="str">
        <f>IF(AND(ISNUMBER(G41), B41&lt;&gt;"", C41&lt;&gt;""), IF(SUMIFS($G$3:$G$102,$B$3:$B$102,B41,$C$3:$C$102,C41)&gt;ΡΥΘΜΙΣΕΙΣ!$B$8,"ΠΡΟΣΟΧΗ: ΥΠΕΡΒΑΣΗ ΧΩΡΗΤΙΚΟΤΗΤΑΣ","Σε αναμονή"), "")</f>
        <v/>
      </c>
      <c r="J41" s="6"/>
    </row>
    <row r="42" spans="1:10" ht="19.5" customHeight="1">
      <c r="A42" s="3">
        <v>40</v>
      </c>
      <c r="B42" s="4"/>
      <c r="C42" s="5"/>
      <c r="D42" s="6"/>
      <c r="E42" s="5"/>
      <c r="F42" s="5"/>
      <c r="G42" s="7"/>
      <c r="H42" s="3" t="str">
        <f>IF(ISNUMBER(G42), INT((G42+ΡΥΘΜΙΣΕΙΣ!$B$5-1)/ΡΥΘΜΙΣΕΙΣ!$B$5), "")</f>
        <v/>
      </c>
      <c r="I42" s="3" t="str">
        <f>IF(AND(ISNUMBER(G42), B42&lt;&gt;"", C42&lt;&gt;""), IF(SUMIFS($G$3:$G$102,$B$3:$B$102,B42,$C$3:$C$102,C42)&gt;ΡΥΘΜΙΣΕΙΣ!$B$8,"ΠΡΟΣΟΧΗ: ΥΠΕΡΒΑΣΗ ΧΩΡΗΤΙΚΟΤΗΤΑΣ","Σε αναμονή"), "")</f>
        <v/>
      </c>
      <c r="J42" s="6"/>
    </row>
    <row r="43" spans="1:10" ht="19.5" customHeight="1">
      <c r="A43" s="3">
        <v>41</v>
      </c>
      <c r="B43" s="4"/>
      <c r="C43" s="5"/>
      <c r="D43" s="6"/>
      <c r="E43" s="5"/>
      <c r="F43" s="5"/>
      <c r="G43" s="7"/>
      <c r="H43" s="3" t="str">
        <f>IF(ISNUMBER(G43), INT((G43+ΡΥΘΜΙΣΕΙΣ!$B$5-1)/ΡΥΘΜΙΣΕΙΣ!$B$5), "")</f>
        <v/>
      </c>
      <c r="I43" s="3" t="str">
        <f>IF(AND(ISNUMBER(G43), B43&lt;&gt;"", C43&lt;&gt;""), IF(SUMIFS($G$3:$G$102,$B$3:$B$102,B43,$C$3:$C$102,C43)&gt;ΡΥΘΜΙΣΕΙΣ!$B$8,"ΠΡΟΣΟΧΗ: ΥΠΕΡΒΑΣΗ ΧΩΡΗΤΙΚΟΤΗΤΑΣ","Σε αναμονή"), "")</f>
        <v/>
      </c>
      <c r="J43" s="6"/>
    </row>
    <row r="44" spans="1:10" ht="19.5" customHeight="1">
      <c r="A44" s="3">
        <v>42</v>
      </c>
      <c r="B44" s="4"/>
      <c r="C44" s="5"/>
      <c r="D44" s="6"/>
      <c r="E44" s="5"/>
      <c r="F44" s="5"/>
      <c r="G44" s="7"/>
      <c r="H44" s="3" t="str">
        <f>IF(ISNUMBER(G44), INT((G44+ΡΥΘΜΙΣΕΙΣ!$B$5-1)/ΡΥΘΜΙΣΕΙΣ!$B$5), "")</f>
        <v/>
      </c>
      <c r="I44" s="3" t="str">
        <f>IF(AND(ISNUMBER(G44), B44&lt;&gt;"", C44&lt;&gt;""), IF(SUMIFS($G$3:$G$102,$B$3:$B$102,B44,$C$3:$C$102,C44)&gt;ΡΥΘΜΙΣΕΙΣ!$B$8,"ΠΡΟΣΟΧΗ: ΥΠΕΡΒΑΣΗ ΧΩΡΗΤΙΚΟΤΗΤΑΣ","Σε αναμονή"), "")</f>
        <v/>
      </c>
      <c r="J44" s="6"/>
    </row>
    <row r="45" spans="1:10" ht="19.5" customHeight="1">
      <c r="A45" s="3">
        <v>43</v>
      </c>
      <c r="B45" s="4"/>
      <c r="C45" s="5"/>
      <c r="D45" s="6"/>
      <c r="E45" s="5"/>
      <c r="F45" s="5"/>
      <c r="G45" s="7"/>
      <c r="H45" s="3" t="str">
        <f>IF(ISNUMBER(G45), INT((G45+ΡΥΘΜΙΣΕΙΣ!$B$5-1)/ΡΥΘΜΙΣΕΙΣ!$B$5), "")</f>
        <v/>
      </c>
      <c r="I45" s="3" t="str">
        <f>IF(AND(ISNUMBER(G45), B45&lt;&gt;"", C45&lt;&gt;""), IF(SUMIFS($G$3:$G$102,$B$3:$B$102,B45,$C$3:$C$102,C45)&gt;ΡΥΘΜΙΣΕΙΣ!$B$8,"ΠΡΟΣΟΧΗ: ΥΠΕΡΒΑΣΗ ΧΩΡΗΤΙΚΟΤΗΤΑΣ","Σε αναμονή"), "")</f>
        <v/>
      </c>
      <c r="J45" s="6"/>
    </row>
    <row r="46" spans="1:10" ht="19.5" customHeight="1">
      <c r="A46" s="3">
        <v>44</v>
      </c>
      <c r="B46" s="4"/>
      <c r="C46" s="5"/>
      <c r="D46" s="6"/>
      <c r="E46" s="5"/>
      <c r="F46" s="5"/>
      <c r="G46" s="7"/>
      <c r="H46" s="3" t="str">
        <f>IF(ISNUMBER(G46), INT((G46+ΡΥΘΜΙΣΕΙΣ!$B$5-1)/ΡΥΘΜΙΣΕΙΣ!$B$5), "")</f>
        <v/>
      </c>
      <c r="I46" s="3" t="str">
        <f>IF(AND(ISNUMBER(G46), B46&lt;&gt;"", C46&lt;&gt;""), IF(SUMIFS($G$3:$G$102,$B$3:$B$102,B46,$C$3:$C$102,C46)&gt;ΡΥΘΜΙΣΕΙΣ!$B$8,"ΠΡΟΣΟΧΗ: ΥΠΕΡΒΑΣΗ ΧΩΡΗΤΙΚΟΤΗΤΑΣ","Σε αναμονή"), "")</f>
        <v/>
      </c>
      <c r="J46" s="6"/>
    </row>
    <row r="47" spans="1:10" ht="19.5" customHeight="1">
      <c r="A47" s="3">
        <v>45</v>
      </c>
      <c r="B47" s="4"/>
      <c r="C47" s="5"/>
      <c r="D47" s="6"/>
      <c r="E47" s="5"/>
      <c r="F47" s="5"/>
      <c r="G47" s="7"/>
      <c r="H47" s="3" t="str">
        <f>IF(ISNUMBER(G47), INT((G47+ΡΥΘΜΙΣΕΙΣ!$B$5-1)/ΡΥΘΜΙΣΕΙΣ!$B$5), "")</f>
        <v/>
      </c>
      <c r="I47" s="3" t="str">
        <f>IF(AND(ISNUMBER(G47), B47&lt;&gt;"", C47&lt;&gt;""), IF(SUMIFS($G$3:$G$102,$B$3:$B$102,B47,$C$3:$C$102,C47)&gt;ΡΥΘΜΙΣΕΙΣ!$B$8,"ΠΡΟΣΟΧΗ: ΥΠΕΡΒΑΣΗ ΧΩΡΗΤΙΚΟΤΗΤΑΣ","Σε αναμονή"), "")</f>
        <v/>
      </c>
      <c r="J47" s="6"/>
    </row>
    <row r="48" spans="1:10" ht="19.5" customHeight="1">
      <c r="A48" s="3">
        <v>46</v>
      </c>
      <c r="B48" s="4"/>
      <c r="C48" s="5"/>
      <c r="D48" s="6"/>
      <c r="E48" s="5"/>
      <c r="F48" s="5"/>
      <c r="G48" s="7"/>
      <c r="H48" s="3" t="str">
        <f>IF(ISNUMBER(G48), INT((G48+ΡΥΘΜΙΣΕΙΣ!$B$5-1)/ΡΥΘΜΙΣΕΙΣ!$B$5), "")</f>
        <v/>
      </c>
      <c r="I48" s="3" t="str">
        <f>IF(AND(ISNUMBER(G48), B48&lt;&gt;"", C48&lt;&gt;""), IF(SUMIFS($G$3:$G$102,$B$3:$B$102,B48,$C$3:$C$102,C48)&gt;ΡΥΘΜΙΣΕΙΣ!$B$8,"ΠΡΟΣΟΧΗ: ΥΠΕΡΒΑΣΗ ΧΩΡΗΤΙΚΟΤΗΤΑΣ","Σε αναμονή"), "")</f>
        <v/>
      </c>
      <c r="J48" s="6"/>
    </row>
    <row r="49" spans="1:10" ht="19.5" customHeight="1">
      <c r="A49" s="3">
        <v>47</v>
      </c>
      <c r="B49" s="4"/>
      <c r="C49" s="5"/>
      <c r="D49" s="6"/>
      <c r="E49" s="5"/>
      <c r="F49" s="5"/>
      <c r="G49" s="7"/>
      <c r="H49" s="3" t="str">
        <f>IF(ISNUMBER(G49), INT((G49+ΡΥΘΜΙΣΕΙΣ!$B$5-1)/ΡΥΘΜΙΣΕΙΣ!$B$5), "")</f>
        <v/>
      </c>
      <c r="I49" s="3" t="str">
        <f>IF(AND(ISNUMBER(G49), B49&lt;&gt;"", C49&lt;&gt;""), IF(SUMIFS($G$3:$G$102,$B$3:$B$102,B49,$C$3:$C$102,C49)&gt;ΡΥΘΜΙΣΕΙΣ!$B$8,"ΠΡΟΣΟΧΗ: ΥΠΕΡΒΑΣΗ ΧΩΡΗΤΙΚΟΤΗΤΑΣ","Σε αναμονή"), "")</f>
        <v/>
      </c>
      <c r="J49" s="6"/>
    </row>
    <row r="50" spans="1:10" ht="19.5" customHeight="1">
      <c r="A50" s="3">
        <v>48</v>
      </c>
      <c r="B50" s="4"/>
      <c r="C50" s="5"/>
      <c r="D50" s="6"/>
      <c r="E50" s="5"/>
      <c r="F50" s="5"/>
      <c r="G50" s="7"/>
      <c r="H50" s="3" t="str">
        <f>IF(ISNUMBER(G50), INT((G50+ΡΥΘΜΙΣΕΙΣ!$B$5-1)/ΡΥΘΜΙΣΕΙΣ!$B$5), "")</f>
        <v/>
      </c>
      <c r="I50" s="3" t="str">
        <f>IF(AND(ISNUMBER(G50), B50&lt;&gt;"", C50&lt;&gt;""), IF(SUMIFS($G$3:$G$102,$B$3:$B$102,B50,$C$3:$C$102,C50)&gt;ΡΥΘΜΙΣΕΙΣ!$B$8,"ΠΡΟΣΟΧΗ: ΥΠΕΡΒΑΣΗ ΧΩΡΗΤΙΚΟΤΗΤΑΣ","Σε αναμονή"), "")</f>
        <v/>
      </c>
      <c r="J50" s="6"/>
    </row>
    <row r="51" spans="1:10" ht="19.5" customHeight="1">
      <c r="A51" s="3">
        <v>49</v>
      </c>
      <c r="B51" s="4"/>
      <c r="C51" s="5"/>
      <c r="D51" s="6"/>
      <c r="E51" s="5"/>
      <c r="F51" s="5"/>
      <c r="G51" s="7"/>
      <c r="H51" s="3" t="str">
        <f>IF(ISNUMBER(G51), INT((G51+ΡΥΘΜΙΣΕΙΣ!$B$5-1)/ΡΥΘΜΙΣΕΙΣ!$B$5), "")</f>
        <v/>
      </c>
      <c r="I51" s="3" t="str">
        <f>IF(AND(ISNUMBER(G51), B51&lt;&gt;"", C51&lt;&gt;""), IF(SUMIFS($G$3:$G$102,$B$3:$B$102,B51,$C$3:$C$102,C51)&gt;ΡΥΘΜΙΣΕΙΣ!$B$8,"ΠΡΟΣΟΧΗ: ΥΠΕΡΒΑΣΗ ΧΩΡΗΤΙΚΟΤΗΤΑΣ","Σε αναμονή"), "")</f>
        <v/>
      </c>
      <c r="J51" s="6"/>
    </row>
    <row r="52" spans="1:10" ht="19.5" customHeight="1">
      <c r="A52" s="3">
        <v>50</v>
      </c>
      <c r="B52" s="4"/>
      <c r="C52" s="5"/>
      <c r="D52" s="6"/>
      <c r="E52" s="5"/>
      <c r="F52" s="5"/>
      <c r="G52" s="7"/>
      <c r="H52" s="3" t="str">
        <f>IF(ISNUMBER(G52), INT((G52+ΡΥΘΜΙΣΕΙΣ!$B$5-1)/ΡΥΘΜΙΣΕΙΣ!$B$5), "")</f>
        <v/>
      </c>
      <c r="I52" s="3" t="str">
        <f>IF(AND(ISNUMBER(G52), B52&lt;&gt;"", C52&lt;&gt;""), IF(SUMIFS($G$3:$G$102,$B$3:$B$102,B52,$C$3:$C$102,C52)&gt;ΡΥΘΜΙΣΕΙΣ!$B$8,"ΠΡΟΣΟΧΗ: ΥΠΕΡΒΑΣΗ ΧΩΡΗΤΙΚΟΤΗΤΑΣ","Σε αναμονή"), "")</f>
        <v/>
      </c>
      <c r="J52" s="6"/>
    </row>
    <row r="53" spans="1:10" ht="19.5" customHeight="1">
      <c r="A53" s="3">
        <v>51</v>
      </c>
      <c r="B53" s="4"/>
      <c r="C53" s="5"/>
      <c r="D53" s="6"/>
      <c r="E53" s="5"/>
      <c r="F53" s="5"/>
      <c r="G53" s="7"/>
      <c r="H53" s="3" t="str">
        <f>IF(ISNUMBER(G53), INT((G53+ΡΥΘΜΙΣΕΙΣ!$B$5-1)/ΡΥΘΜΙΣΕΙΣ!$B$5), "")</f>
        <v/>
      </c>
      <c r="I53" s="3" t="str">
        <f>IF(AND(ISNUMBER(G53), B53&lt;&gt;"", C53&lt;&gt;""), IF(SUMIFS($G$3:$G$102,$B$3:$B$102,B53,$C$3:$C$102,C53)&gt;ΡΥΘΜΙΣΕΙΣ!$B$8,"ΠΡΟΣΟΧΗ: ΥΠΕΡΒΑΣΗ ΧΩΡΗΤΙΚΟΤΗΤΑΣ","Σε αναμονή"), "")</f>
        <v/>
      </c>
      <c r="J53" s="6"/>
    </row>
    <row r="54" spans="1:10" ht="19.5" customHeight="1">
      <c r="A54" s="3">
        <v>52</v>
      </c>
      <c r="B54" s="4"/>
      <c r="C54" s="5"/>
      <c r="D54" s="6"/>
      <c r="E54" s="5"/>
      <c r="F54" s="5"/>
      <c r="G54" s="7"/>
      <c r="H54" s="3" t="str">
        <f>IF(ISNUMBER(G54), INT((G54+ΡΥΘΜΙΣΕΙΣ!$B$5-1)/ΡΥΘΜΙΣΕΙΣ!$B$5), "")</f>
        <v/>
      </c>
      <c r="I54" s="3" t="str">
        <f>IF(AND(ISNUMBER(G54), B54&lt;&gt;"", C54&lt;&gt;""), IF(SUMIFS($G$3:$G$102,$B$3:$B$102,B54,$C$3:$C$102,C54)&gt;ΡΥΘΜΙΣΕΙΣ!$B$8,"ΠΡΟΣΟΧΗ: ΥΠΕΡΒΑΣΗ ΧΩΡΗΤΙΚΟΤΗΤΑΣ","Σε αναμονή"), "")</f>
        <v/>
      </c>
      <c r="J54" s="6"/>
    </row>
    <row r="55" spans="1:10" ht="19.5" customHeight="1">
      <c r="A55" s="3">
        <v>53</v>
      </c>
      <c r="B55" s="4"/>
      <c r="C55" s="5"/>
      <c r="D55" s="6"/>
      <c r="E55" s="5"/>
      <c r="F55" s="5"/>
      <c r="G55" s="7"/>
      <c r="H55" s="3" t="str">
        <f>IF(ISNUMBER(G55), INT((G55+ΡΥΘΜΙΣΕΙΣ!$B$5-1)/ΡΥΘΜΙΣΕΙΣ!$B$5), "")</f>
        <v/>
      </c>
      <c r="I55" s="3" t="str">
        <f>IF(AND(ISNUMBER(G55), B55&lt;&gt;"", C55&lt;&gt;""), IF(SUMIFS($G$3:$G$102,$B$3:$B$102,B55,$C$3:$C$102,C55)&gt;ΡΥΘΜΙΣΕΙΣ!$B$8,"ΠΡΟΣΟΧΗ: ΥΠΕΡΒΑΣΗ ΧΩΡΗΤΙΚΟΤΗΤΑΣ","Σε αναμονή"), "")</f>
        <v/>
      </c>
      <c r="J55" s="6"/>
    </row>
    <row r="56" spans="1:10" ht="19.5" customHeight="1">
      <c r="A56" s="3">
        <v>54</v>
      </c>
      <c r="B56" s="4"/>
      <c r="C56" s="5"/>
      <c r="D56" s="6"/>
      <c r="E56" s="5"/>
      <c r="F56" s="5"/>
      <c r="G56" s="7"/>
      <c r="H56" s="3" t="str">
        <f>IF(ISNUMBER(G56), INT((G56+ΡΥΘΜΙΣΕΙΣ!$B$5-1)/ΡΥΘΜΙΣΕΙΣ!$B$5), "")</f>
        <v/>
      </c>
      <c r="I56" s="3" t="str">
        <f>IF(AND(ISNUMBER(G56), B56&lt;&gt;"", C56&lt;&gt;""), IF(SUMIFS($G$3:$G$102,$B$3:$B$102,B56,$C$3:$C$102,C56)&gt;ΡΥΘΜΙΣΕΙΣ!$B$8,"ΠΡΟΣΟΧΗ: ΥΠΕΡΒΑΣΗ ΧΩΡΗΤΙΚΟΤΗΤΑΣ","Σε αναμονή"), "")</f>
        <v/>
      </c>
      <c r="J56" s="6"/>
    </row>
    <row r="57" spans="1:10" ht="19.5" customHeight="1">
      <c r="A57" s="3">
        <v>55</v>
      </c>
      <c r="B57" s="4"/>
      <c r="C57" s="5"/>
      <c r="D57" s="6"/>
      <c r="E57" s="5"/>
      <c r="F57" s="5"/>
      <c r="G57" s="7"/>
      <c r="H57" s="3" t="str">
        <f>IF(ISNUMBER(G57), INT((G57+ΡΥΘΜΙΣΕΙΣ!$B$5-1)/ΡΥΘΜΙΣΕΙΣ!$B$5), "")</f>
        <v/>
      </c>
      <c r="I57" s="3" t="str">
        <f>IF(AND(ISNUMBER(G57), B57&lt;&gt;"", C57&lt;&gt;""), IF(SUMIFS($G$3:$G$102,$B$3:$B$102,B57,$C$3:$C$102,C57)&gt;ΡΥΘΜΙΣΕΙΣ!$B$8,"ΠΡΟΣΟΧΗ: ΥΠΕΡΒΑΣΗ ΧΩΡΗΤΙΚΟΤΗΤΑΣ","Σε αναμονή"), "")</f>
        <v/>
      </c>
      <c r="J57" s="6"/>
    </row>
    <row r="58" spans="1:10" ht="19.5" customHeight="1">
      <c r="A58" s="3">
        <v>56</v>
      </c>
      <c r="B58" s="4"/>
      <c r="C58" s="5"/>
      <c r="D58" s="6"/>
      <c r="E58" s="5"/>
      <c r="F58" s="5"/>
      <c r="G58" s="7"/>
      <c r="H58" s="3" t="str">
        <f>IF(ISNUMBER(G58), INT((G58+ΡΥΘΜΙΣΕΙΣ!$B$5-1)/ΡΥΘΜΙΣΕΙΣ!$B$5), "")</f>
        <v/>
      </c>
      <c r="I58" s="3" t="str">
        <f>IF(AND(ISNUMBER(G58), B58&lt;&gt;"", C58&lt;&gt;""), IF(SUMIFS($G$3:$G$102,$B$3:$B$102,B58,$C$3:$C$102,C58)&gt;ΡΥΘΜΙΣΕΙΣ!$B$8,"ΠΡΟΣΟΧΗ: ΥΠΕΡΒΑΣΗ ΧΩΡΗΤΙΚΟΤΗΤΑΣ","Σε αναμονή"), "")</f>
        <v/>
      </c>
      <c r="J58" s="6"/>
    </row>
    <row r="59" spans="1:10" ht="19.5" customHeight="1">
      <c r="A59" s="3">
        <v>57</v>
      </c>
      <c r="B59" s="4"/>
      <c r="C59" s="5"/>
      <c r="D59" s="6"/>
      <c r="E59" s="5"/>
      <c r="F59" s="5"/>
      <c r="G59" s="7"/>
      <c r="H59" s="3" t="str">
        <f>IF(ISNUMBER(G59), INT((G59+ΡΥΘΜΙΣΕΙΣ!$B$5-1)/ΡΥΘΜΙΣΕΙΣ!$B$5), "")</f>
        <v/>
      </c>
      <c r="I59" s="3" t="str">
        <f>IF(AND(ISNUMBER(G59), B59&lt;&gt;"", C59&lt;&gt;""), IF(SUMIFS($G$3:$G$102,$B$3:$B$102,B59,$C$3:$C$102,C59)&gt;ΡΥΘΜΙΣΕΙΣ!$B$8,"ΠΡΟΣΟΧΗ: ΥΠΕΡΒΑΣΗ ΧΩΡΗΤΙΚΟΤΗΤΑΣ","Σε αναμονή"), "")</f>
        <v/>
      </c>
      <c r="J59" s="6"/>
    </row>
    <row r="60" spans="1:10" ht="19.5" customHeight="1">
      <c r="A60" s="3">
        <v>58</v>
      </c>
      <c r="B60" s="4"/>
      <c r="C60" s="5"/>
      <c r="D60" s="6"/>
      <c r="E60" s="5"/>
      <c r="F60" s="5"/>
      <c r="G60" s="7"/>
      <c r="H60" s="3" t="str">
        <f>IF(ISNUMBER(G60), INT((G60+ΡΥΘΜΙΣΕΙΣ!$B$5-1)/ΡΥΘΜΙΣΕΙΣ!$B$5), "")</f>
        <v/>
      </c>
      <c r="I60" s="3" t="str">
        <f>IF(AND(ISNUMBER(G60), B60&lt;&gt;"", C60&lt;&gt;""), IF(SUMIFS($G$3:$G$102,$B$3:$B$102,B60,$C$3:$C$102,C60)&gt;ΡΥΘΜΙΣΕΙΣ!$B$8,"ΠΡΟΣΟΧΗ: ΥΠΕΡΒΑΣΗ ΧΩΡΗΤΙΚΟΤΗΤΑΣ","Σε αναμονή"), "")</f>
        <v/>
      </c>
      <c r="J60" s="6"/>
    </row>
    <row r="61" spans="1:10" ht="19.5" customHeight="1">
      <c r="A61" s="3">
        <v>59</v>
      </c>
      <c r="B61" s="4"/>
      <c r="C61" s="5"/>
      <c r="D61" s="6"/>
      <c r="E61" s="5"/>
      <c r="F61" s="5"/>
      <c r="G61" s="7"/>
      <c r="H61" s="3" t="str">
        <f>IF(ISNUMBER(G61), INT((G61+ΡΥΘΜΙΣΕΙΣ!$B$5-1)/ΡΥΘΜΙΣΕΙΣ!$B$5), "")</f>
        <v/>
      </c>
      <c r="I61" s="3" t="str">
        <f>IF(AND(ISNUMBER(G61), B61&lt;&gt;"", C61&lt;&gt;""), IF(SUMIFS($G$3:$G$102,$B$3:$B$102,B61,$C$3:$C$102,C61)&gt;ΡΥΘΜΙΣΕΙΣ!$B$8,"ΠΡΟΣΟΧΗ: ΥΠΕΡΒΑΣΗ ΧΩΡΗΤΙΚΟΤΗΤΑΣ","Σε αναμονή"), "")</f>
        <v/>
      </c>
      <c r="J61" s="6"/>
    </row>
    <row r="62" spans="1:10" ht="19.5" customHeight="1">
      <c r="A62" s="3">
        <v>60</v>
      </c>
      <c r="B62" s="4"/>
      <c r="C62" s="5"/>
      <c r="D62" s="6"/>
      <c r="E62" s="5"/>
      <c r="F62" s="5"/>
      <c r="G62" s="7"/>
      <c r="H62" s="3" t="str">
        <f>IF(ISNUMBER(G62), INT((G62+ΡΥΘΜΙΣΕΙΣ!$B$5-1)/ΡΥΘΜΙΣΕΙΣ!$B$5), "")</f>
        <v/>
      </c>
      <c r="I62" s="3" t="str">
        <f>IF(AND(ISNUMBER(G62), B62&lt;&gt;"", C62&lt;&gt;""), IF(SUMIFS($G$3:$G$102,$B$3:$B$102,B62,$C$3:$C$102,C62)&gt;ΡΥΘΜΙΣΕΙΣ!$B$8,"ΠΡΟΣΟΧΗ: ΥΠΕΡΒΑΣΗ ΧΩΡΗΤΙΚΟΤΗΤΑΣ","Σε αναμονή"), "")</f>
        <v/>
      </c>
      <c r="J62" s="6"/>
    </row>
    <row r="63" spans="1:10" ht="19.5" customHeight="1">
      <c r="A63" s="3">
        <v>61</v>
      </c>
      <c r="B63" s="4"/>
      <c r="C63" s="5"/>
      <c r="D63" s="6"/>
      <c r="E63" s="5"/>
      <c r="F63" s="5"/>
      <c r="G63" s="7"/>
      <c r="H63" s="3" t="str">
        <f>IF(ISNUMBER(G63), INT((G63+ΡΥΘΜΙΣΕΙΣ!$B$5-1)/ΡΥΘΜΙΣΕΙΣ!$B$5), "")</f>
        <v/>
      </c>
      <c r="I63" s="3" t="str">
        <f>IF(AND(ISNUMBER(G63), B63&lt;&gt;"", C63&lt;&gt;""), IF(SUMIFS($G$3:$G$102,$B$3:$B$102,B63,$C$3:$C$102,C63)&gt;ΡΥΘΜΙΣΕΙΣ!$B$8,"ΠΡΟΣΟΧΗ: ΥΠΕΡΒΑΣΗ ΧΩΡΗΤΙΚΟΤΗΤΑΣ","Σε αναμονή"), "")</f>
        <v/>
      </c>
      <c r="J63" s="6"/>
    </row>
    <row r="64" spans="1:10" ht="19.5" customHeight="1">
      <c r="A64" s="3">
        <v>62</v>
      </c>
      <c r="B64" s="4"/>
      <c r="C64" s="5"/>
      <c r="D64" s="6"/>
      <c r="E64" s="5"/>
      <c r="F64" s="5"/>
      <c r="G64" s="7"/>
      <c r="H64" s="3" t="str">
        <f>IF(ISNUMBER(G64), INT((G64+ΡΥΘΜΙΣΕΙΣ!$B$5-1)/ΡΥΘΜΙΣΕΙΣ!$B$5), "")</f>
        <v/>
      </c>
      <c r="I64" s="3" t="str">
        <f>IF(AND(ISNUMBER(G64), B64&lt;&gt;"", C64&lt;&gt;""), IF(SUMIFS($G$3:$G$102,$B$3:$B$102,B64,$C$3:$C$102,C64)&gt;ΡΥΘΜΙΣΕΙΣ!$B$8,"ΠΡΟΣΟΧΗ: ΥΠΕΡΒΑΣΗ ΧΩΡΗΤΙΚΟΤΗΤΑΣ","Σε αναμονή"), "")</f>
        <v/>
      </c>
      <c r="J64" s="6"/>
    </row>
    <row r="65" spans="1:10" ht="19.5" customHeight="1">
      <c r="A65" s="3">
        <v>63</v>
      </c>
      <c r="B65" s="4"/>
      <c r="C65" s="5"/>
      <c r="D65" s="6"/>
      <c r="E65" s="5"/>
      <c r="F65" s="5"/>
      <c r="G65" s="7"/>
      <c r="H65" s="3" t="str">
        <f>IF(ISNUMBER(G65), INT((G65+ΡΥΘΜΙΣΕΙΣ!$B$5-1)/ΡΥΘΜΙΣΕΙΣ!$B$5), "")</f>
        <v/>
      </c>
      <c r="I65" s="3" t="str">
        <f>IF(AND(ISNUMBER(G65), B65&lt;&gt;"", C65&lt;&gt;""), IF(SUMIFS($G$3:$G$102,$B$3:$B$102,B65,$C$3:$C$102,C65)&gt;ΡΥΘΜΙΣΕΙΣ!$B$8,"ΠΡΟΣΟΧΗ: ΥΠΕΡΒΑΣΗ ΧΩΡΗΤΙΚΟΤΗΤΑΣ","Σε αναμονή"), "")</f>
        <v/>
      </c>
      <c r="J65" s="6"/>
    </row>
    <row r="66" spans="1:10" ht="19.5" customHeight="1">
      <c r="A66" s="3">
        <v>64</v>
      </c>
      <c r="B66" s="4"/>
      <c r="C66" s="5"/>
      <c r="D66" s="6"/>
      <c r="E66" s="5"/>
      <c r="F66" s="5"/>
      <c r="G66" s="7"/>
      <c r="H66" s="3" t="str">
        <f>IF(ISNUMBER(G66), INT((G66+ΡΥΘΜΙΣΕΙΣ!$B$5-1)/ΡΥΘΜΙΣΕΙΣ!$B$5), "")</f>
        <v/>
      </c>
      <c r="I66" s="3" t="str">
        <f>IF(AND(ISNUMBER(G66), B66&lt;&gt;"", C66&lt;&gt;""), IF(SUMIFS($G$3:$G$102,$B$3:$B$102,B66,$C$3:$C$102,C66)&gt;ΡΥΘΜΙΣΕΙΣ!$B$8,"ΠΡΟΣΟΧΗ: ΥΠΕΡΒΑΣΗ ΧΩΡΗΤΙΚΟΤΗΤΑΣ","Σε αναμονή"), "")</f>
        <v/>
      </c>
      <c r="J66" s="6"/>
    </row>
    <row r="67" spans="1:10" ht="19.5" customHeight="1">
      <c r="A67" s="3">
        <v>65</v>
      </c>
      <c r="B67" s="4"/>
      <c r="C67" s="5"/>
      <c r="D67" s="6"/>
      <c r="E67" s="5"/>
      <c r="F67" s="5"/>
      <c r="G67" s="7"/>
      <c r="H67" s="3" t="str">
        <f>IF(ISNUMBER(G67), INT((G67+ΡΥΘΜΙΣΕΙΣ!$B$5-1)/ΡΥΘΜΙΣΕΙΣ!$B$5), "")</f>
        <v/>
      </c>
      <c r="I67" s="3" t="str">
        <f>IF(AND(ISNUMBER(G67), B67&lt;&gt;"", C67&lt;&gt;""), IF(SUMIFS($G$3:$G$102,$B$3:$B$102,B67,$C$3:$C$102,C67)&gt;ΡΥΘΜΙΣΕΙΣ!$B$8,"ΠΡΟΣΟΧΗ: ΥΠΕΡΒΑΣΗ ΧΩΡΗΤΙΚΟΤΗΤΑΣ","Σε αναμονή"), "")</f>
        <v/>
      </c>
      <c r="J67" s="6"/>
    </row>
    <row r="68" spans="1:10" ht="19.5" customHeight="1">
      <c r="A68" s="3">
        <v>66</v>
      </c>
      <c r="B68" s="4"/>
      <c r="C68" s="5"/>
      <c r="D68" s="6"/>
      <c r="E68" s="5"/>
      <c r="F68" s="5"/>
      <c r="G68" s="7"/>
      <c r="H68" s="3" t="str">
        <f>IF(ISNUMBER(G68), INT((G68+ΡΥΘΜΙΣΕΙΣ!$B$5-1)/ΡΥΘΜΙΣΕΙΣ!$B$5), "")</f>
        <v/>
      </c>
      <c r="I68" s="3" t="str">
        <f>IF(AND(ISNUMBER(G68), B68&lt;&gt;"", C68&lt;&gt;""), IF(SUMIFS($G$3:$G$102,$B$3:$B$102,B68,$C$3:$C$102,C68)&gt;ΡΥΘΜΙΣΕΙΣ!$B$8,"ΠΡΟΣΟΧΗ: ΥΠΕΡΒΑΣΗ ΧΩΡΗΤΙΚΟΤΗΤΑΣ","Σε αναμονή"), "")</f>
        <v/>
      </c>
      <c r="J68" s="6"/>
    </row>
    <row r="69" spans="1:10" ht="19.5" customHeight="1">
      <c r="A69" s="3">
        <v>67</v>
      </c>
      <c r="B69" s="4"/>
      <c r="C69" s="5"/>
      <c r="D69" s="6"/>
      <c r="E69" s="5"/>
      <c r="F69" s="5"/>
      <c r="G69" s="7"/>
      <c r="H69" s="3" t="str">
        <f>IF(ISNUMBER(G69), INT((G69+ΡΥΘΜΙΣΕΙΣ!$B$5-1)/ΡΥΘΜΙΣΕΙΣ!$B$5), "")</f>
        <v/>
      </c>
      <c r="I69" s="3" t="str">
        <f>IF(AND(ISNUMBER(G69), B69&lt;&gt;"", C69&lt;&gt;""), IF(SUMIFS($G$3:$G$102,$B$3:$B$102,B69,$C$3:$C$102,C69)&gt;ΡΥΘΜΙΣΕΙΣ!$B$8,"ΠΡΟΣΟΧΗ: ΥΠΕΡΒΑΣΗ ΧΩΡΗΤΙΚΟΤΗΤΑΣ","Σε αναμονή"), "")</f>
        <v/>
      </c>
      <c r="J69" s="6"/>
    </row>
    <row r="70" spans="1:10" ht="19.5" customHeight="1">
      <c r="A70" s="3">
        <v>68</v>
      </c>
      <c r="B70" s="4"/>
      <c r="C70" s="5"/>
      <c r="D70" s="6"/>
      <c r="E70" s="5"/>
      <c r="F70" s="5"/>
      <c r="G70" s="7"/>
      <c r="H70" s="3" t="str">
        <f>IF(ISNUMBER(G70), INT((G70+ΡΥΘΜΙΣΕΙΣ!$B$5-1)/ΡΥΘΜΙΣΕΙΣ!$B$5), "")</f>
        <v/>
      </c>
      <c r="I70" s="3" t="str">
        <f>IF(AND(ISNUMBER(G70), B70&lt;&gt;"", C70&lt;&gt;""), IF(SUMIFS($G$3:$G$102,$B$3:$B$102,B70,$C$3:$C$102,C70)&gt;ΡΥΘΜΙΣΕΙΣ!$B$8,"ΠΡΟΣΟΧΗ: ΥΠΕΡΒΑΣΗ ΧΩΡΗΤΙΚΟΤΗΤΑΣ","Σε αναμονή"), "")</f>
        <v/>
      </c>
      <c r="J70" s="6"/>
    </row>
    <row r="71" spans="1:10" ht="19.5" customHeight="1">
      <c r="A71" s="3">
        <v>69</v>
      </c>
      <c r="B71" s="4"/>
      <c r="C71" s="5"/>
      <c r="D71" s="6"/>
      <c r="E71" s="5"/>
      <c r="F71" s="5"/>
      <c r="G71" s="7"/>
      <c r="H71" s="3" t="str">
        <f>IF(ISNUMBER(G71), INT((G71+ΡΥΘΜΙΣΕΙΣ!$B$5-1)/ΡΥΘΜΙΣΕΙΣ!$B$5), "")</f>
        <v/>
      </c>
      <c r="I71" s="3" t="str">
        <f>IF(AND(ISNUMBER(G71), B71&lt;&gt;"", C71&lt;&gt;""), IF(SUMIFS($G$3:$G$102,$B$3:$B$102,B71,$C$3:$C$102,C71)&gt;ΡΥΘΜΙΣΕΙΣ!$B$8,"ΠΡΟΣΟΧΗ: ΥΠΕΡΒΑΣΗ ΧΩΡΗΤΙΚΟΤΗΤΑΣ","Σε αναμονή"), "")</f>
        <v/>
      </c>
      <c r="J71" s="6"/>
    </row>
    <row r="72" spans="1:10" ht="19.5" customHeight="1">
      <c r="A72" s="3">
        <v>70</v>
      </c>
      <c r="B72" s="4"/>
      <c r="C72" s="5"/>
      <c r="D72" s="6"/>
      <c r="E72" s="5"/>
      <c r="F72" s="5"/>
      <c r="G72" s="7"/>
      <c r="H72" s="3" t="str">
        <f>IF(ISNUMBER(G72), INT((G72+ΡΥΘΜΙΣΕΙΣ!$B$5-1)/ΡΥΘΜΙΣΕΙΣ!$B$5), "")</f>
        <v/>
      </c>
      <c r="I72" s="3" t="str">
        <f>IF(AND(ISNUMBER(G72), B72&lt;&gt;"", C72&lt;&gt;""), IF(SUMIFS($G$3:$G$102,$B$3:$B$102,B72,$C$3:$C$102,C72)&gt;ΡΥΘΜΙΣΕΙΣ!$B$8,"ΠΡΟΣΟΧΗ: ΥΠΕΡΒΑΣΗ ΧΩΡΗΤΙΚΟΤΗΤΑΣ","Σε αναμονή"), "")</f>
        <v/>
      </c>
      <c r="J72" s="6"/>
    </row>
    <row r="73" spans="1:10" ht="19.5" customHeight="1">
      <c r="A73" s="3">
        <v>71</v>
      </c>
      <c r="B73" s="4"/>
      <c r="C73" s="5"/>
      <c r="D73" s="6"/>
      <c r="E73" s="5"/>
      <c r="F73" s="5"/>
      <c r="G73" s="7"/>
      <c r="H73" s="3" t="str">
        <f>IF(ISNUMBER(G73), INT((G73+ΡΥΘΜΙΣΕΙΣ!$B$5-1)/ΡΥΘΜΙΣΕΙΣ!$B$5), "")</f>
        <v/>
      </c>
      <c r="I73" s="3" t="str">
        <f>IF(AND(ISNUMBER(G73), B73&lt;&gt;"", C73&lt;&gt;""), IF(SUMIFS($G$3:$G$102,$B$3:$B$102,B73,$C$3:$C$102,C73)&gt;ΡΥΘΜΙΣΕΙΣ!$B$8,"ΠΡΟΣΟΧΗ: ΥΠΕΡΒΑΣΗ ΧΩΡΗΤΙΚΟΤΗΤΑΣ","Σε αναμονή"), "")</f>
        <v/>
      </c>
      <c r="J73" s="6"/>
    </row>
    <row r="74" spans="1:10" ht="19.5" customHeight="1">
      <c r="A74" s="3">
        <v>72</v>
      </c>
      <c r="B74" s="4"/>
      <c r="C74" s="5"/>
      <c r="D74" s="6"/>
      <c r="E74" s="5"/>
      <c r="F74" s="5"/>
      <c r="G74" s="7"/>
      <c r="H74" s="3" t="str">
        <f>IF(ISNUMBER(G74), INT((G74+ΡΥΘΜΙΣΕΙΣ!$B$5-1)/ΡΥΘΜΙΣΕΙΣ!$B$5), "")</f>
        <v/>
      </c>
      <c r="I74" s="3" t="str">
        <f>IF(AND(ISNUMBER(G74), B74&lt;&gt;"", C74&lt;&gt;""), IF(SUMIFS($G$3:$G$102,$B$3:$B$102,B74,$C$3:$C$102,C74)&gt;ΡΥΘΜΙΣΕΙΣ!$B$8,"ΠΡΟΣΟΧΗ: ΥΠΕΡΒΑΣΗ ΧΩΡΗΤΙΚΟΤΗΤΑΣ","Σε αναμονή"), "")</f>
        <v/>
      </c>
      <c r="J74" s="6"/>
    </row>
    <row r="75" spans="1:10" ht="19.5" customHeight="1">
      <c r="A75" s="3">
        <v>73</v>
      </c>
      <c r="B75" s="4"/>
      <c r="C75" s="5"/>
      <c r="D75" s="6"/>
      <c r="E75" s="5"/>
      <c r="F75" s="5"/>
      <c r="G75" s="7"/>
      <c r="H75" s="3" t="str">
        <f>IF(ISNUMBER(G75), INT((G75+ΡΥΘΜΙΣΕΙΣ!$B$5-1)/ΡΥΘΜΙΣΕΙΣ!$B$5), "")</f>
        <v/>
      </c>
      <c r="I75" s="3" t="str">
        <f>IF(AND(ISNUMBER(G75), B75&lt;&gt;"", C75&lt;&gt;""), IF(SUMIFS($G$3:$G$102,$B$3:$B$102,B75,$C$3:$C$102,C75)&gt;ΡΥΘΜΙΣΕΙΣ!$B$8,"ΠΡΟΣΟΧΗ: ΥΠΕΡΒΑΣΗ ΧΩΡΗΤΙΚΟΤΗΤΑΣ","Σε αναμονή"), "")</f>
        <v/>
      </c>
      <c r="J75" s="6"/>
    </row>
    <row r="76" spans="1:10" ht="19.5" customHeight="1">
      <c r="A76" s="3">
        <v>74</v>
      </c>
      <c r="B76" s="4"/>
      <c r="C76" s="5"/>
      <c r="D76" s="6"/>
      <c r="E76" s="5"/>
      <c r="F76" s="5"/>
      <c r="G76" s="7"/>
      <c r="H76" s="3" t="str">
        <f>IF(ISNUMBER(G76), INT((G76+ΡΥΘΜΙΣΕΙΣ!$B$5-1)/ΡΥΘΜΙΣΕΙΣ!$B$5), "")</f>
        <v/>
      </c>
      <c r="I76" s="3" t="str">
        <f>IF(AND(ISNUMBER(G76), B76&lt;&gt;"", C76&lt;&gt;""), IF(SUMIFS($G$3:$G$102,$B$3:$B$102,B76,$C$3:$C$102,C76)&gt;ΡΥΘΜΙΣΕΙΣ!$B$8,"ΠΡΟΣΟΧΗ: ΥΠΕΡΒΑΣΗ ΧΩΡΗΤΙΚΟΤΗΤΑΣ","Σε αναμονή"), "")</f>
        <v/>
      </c>
      <c r="J76" s="6"/>
    </row>
    <row r="77" spans="1:10" ht="19.5" customHeight="1">
      <c r="A77" s="3">
        <v>75</v>
      </c>
      <c r="B77" s="4"/>
      <c r="C77" s="5"/>
      <c r="D77" s="6"/>
      <c r="E77" s="5"/>
      <c r="F77" s="5"/>
      <c r="G77" s="7"/>
      <c r="H77" s="3" t="str">
        <f>IF(ISNUMBER(G77), INT((G77+ΡΥΘΜΙΣΕΙΣ!$B$5-1)/ΡΥΘΜΙΣΕΙΣ!$B$5), "")</f>
        <v/>
      </c>
      <c r="I77" s="3" t="str">
        <f>IF(AND(ISNUMBER(G77), B77&lt;&gt;"", C77&lt;&gt;""), IF(SUMIFS($G$3:$G$102,$B$3:$B$102,B77,$C$3:$C$102,C77)&gt;ΡΥΘΜΙΣΕΙΣ!$B$8,"ΠΡΟΣΟΧΗ: ΥΠΕΡΒΑΣΗ ΧΩΡΗΤΙΚΟΤΗΤΑΣ","Σε αναμονή"), "")</f>
        <v/>
      </c>
      <c r="J77" s="6"/>
    </row>
    <row r="78" spans="1:10" ht="19.5" customHeight="1">
      <c r="A78" s="3">
        <v>76</v>
      </c>
      <c r="B78" s="4"/>
      <c r="C78" s="5"/>
      <c r="D78" s="6"/>
      <c r="E78" s="5"/>
      <c r="F78" s="5"/>
      <c r="G78" s="7"/>
      <c r="H78" s="3" t="str">
        <f>IF(ISNUMBER(G78), INT((G78+ΡΥΘΜΙΣΕΙΣ!$B$5-1)/ΡΥΘΜΙΣΕΙΣ!$B$5), "")</f>
        <v/>
      </c>
      <c r="I78" s="3" t="str">
        <f>IF(AND(ISNUMBER(G78), B78&lt;&gt;"", C78&lt;&gt;""), IF(SUMIFS($G$3:$G$102,$B$3:$B$102,B78,$C$3:$C$102,C78)&gt;ΡΥΘΜΙΣΕΙΣ!$B$8,"ΠΡΟΣΟΧΗ: ΥΠΕΡΒΑΣΗ ΧΩΡΗΤΙΚΟΤΗΤΑΣ","Σε αναμονή"), "")</f>
        <v/>
      </c>
      <c r="J78" s="6"/>
    </row>
    <row r="79" spans="1:10" ht="19.5" customHeight="1">
      <c r="A79" s="3">
        <v>77</v>
      </c>
      <c r="B79" s="4"/>
      <c r="C79" s="5"/>
      <c r="D79" s="6"/>
      <c r="E79" s="5"/>
      <c r="F79" s="5"/>
      <c r="G79" s="7"/>
      <c r="H79" s="3" t="str">
        <f>IF(ISNUMBER(G79), INT((G79+ΡΥΘΜΙΣΕΙΣ!$B$5-1)/ΡΥΘΜΙΣΕΙΣ!$B$5), "")</f>
        <v/>
      </c>
      <c r="I79" s="3" t="str">
        <f>IF(AND(ISNUMBER(G79), B79&lt;&gt;"", C79&lt;&gt;""), IF(SUMIFS($G$3:$G$102,$B$3:$B$102,B79,$C$3:$C$102,C79)&gt;ΡΥΘΜΙΣΕΙΣ!$B$8,"ΠΡΟΣΟΧΗ: ΥΠΕΡΒΑΣΗ ΧΩΡΗΤΙΚΟΤΗΤΑΣ","Σε αναμονή"), "")</f>
        <v/>
      </c>
      <c r="J79" s="6"/>
    </row>
    <row r="80" spans="1:10" ht="19.5" customHeight="1">
      <c r="A80" s="3">
        <v>78</v>
      </c>
      <c r="B80" s="4"/>
      <c r="C80" s="5"/>
      <c r="D80" s="6"/>
      <c r="E80" s="5"/>
      <c r="F80" s="5"/>
      <c r="G80" s="7"/>
      <c r="H80" s="3" t="str">
        <f>IF(ISNUMBER(G80), INT((G80+ΡΥΘΜΙΣΕΙΣ!$B$5-1)/ΡΥΘΜΙΣΕΙΣ!$B$5), "")</f>
        <v/>
      </c>
      <c r="I80" s="3" t="str">
        <f>IF(AND(ISNUMBER(G80), B80&lt;&gt;"", C80&lt;&gt;""), IF(SUMIFS($G$3:$G$102,$B$3:$B$102,B80,$C$3:$C$102,C80)&gt;ΡΥΘΜΙΣΕΙΣ!$B$8,"ΠΡΟΣΟΧΗ: ΥΠΕΡΒΑΣΗ ΧΩΡΗΤΙΚΟΤΗΤΑΣ","Σε αναμονή"), "")</f>
        <v/>
      </c>
      <c r="J80" s="6"/>
    </row>
    <row r="81" spans="1:10" ht="19.5" customHeight="1">
      <c r="A81" s="3">
        <v>79</v>
      </c>
      <c r="B81" s="4"/>
      <c r="C81" s="5"/>
      <c r="D81" s="6"/>
      <c r="E81" s="5"/>
      <c r="F81" s="5"/>
      <c r="G81" s="7"/>
      <c r="H81" s="3" t="str">
        <f>IF(ISNUMBER(G81), INT((G81+ΡΥΘΜΙΣΕΙΣ!$B$5-1)/ΡΥΘΜΙΣΕΙΣ!$B$5), "")</f>
        <v/>
      </c>
      <c r="I81" s="3" t="str">
        <f>IF(AND(ISNUMBER(G81), B81&lt;&gt;"", C81&lt;&gt;""), IF(SUMIFS($G$3:$G$102,$B$3:$B$102,B81,$C$3:$C$102,C81)&gt;ΡΥΘΜΙΣΕΙΣ!$B$8,"ΠΡΟΣΟΧΗ: ΥΠΕΡΒΑΣΗ ΧΩΡΗΤΙΚΟΤΗΤΑΣ","Σε αναμονή"), "")</f>
        <v/>
      </c>
      <c r="J81" s="6"/>
    </row>
    <row r="82" spans="1:10" ht="19.5" customHeight="1">
      <c r="A82" s="3">
        <v>80</v>
      </c>
      <c r="B82" s="4"/>
      <c r="C82" s="5"/>
      <c r="D82" s="6"/>
      <c r="E82" s="5"/>
      <c r="F82" s="5"/>
      <c r="G82" s="7"/>
      <c r="H82" s="3" t="str">
        <f>IF(ISNUMBER(G82), INT((G82+ΡΥΘΜΙΣΕΙΣ!$B$5-1)/ΡΥΘΜΙΣΕΙΣ!$B$5), "")</f>
        <v/>
      </c>
      <c r="I82" s="3" t="str">
        <f>IF(AND(ISNUMBER(G82), B82&lt;&gt;"", C82&lt;&gt;""), IF(SUMIFS($G$3:$G$102,$B$3:$B$102,B82,$C$3:$C$102,C82)&gt;ΡΥΘΜΙΣΕΙΣ!$B$8,"ΠΡΟΣΟΧΗ: ΥΠΕΡΒΑΣΗ ΧΩΡΗΤΙΚΟΤΗΤΑΣ","Σε αναμονή"), "")</f>
        <v/>
      </c>
      <c r="J82" s="6"/>
    </row>
    <row r="83" spans="1:10" ht="19.5" customHeight="1">
      <c r="A83" s="3">
        <v>81</v>
      </c>
      <c r="B83" s="4"/>
      <c r="C83" s="5"/>
      <c r="D83" s="6"/>
      <c r="E83" s="5"/>
      <c r="F83" s="5"/>
      <c r="G83" s="7"/>
      <c r="H83" s="3" t="str">
        <f>IF(ISNUMBER(G83), INT((G83+ΡΥΘΜΙΣΕΙΣ!$B$5-1)/ΡΥΘΜΙΣΕΙΣ!$B$5), "")</f>
        <v/>
      </c>
      <c r="I83" s="3" t="str">
        <f>IF(AND(ISNUMBER(G83), B83&lt;&gt;"", C83&lt;&gt;""), IF(SUMIFS($G$3:$G$102,$B$3:$B$102,B83,$C$3:$C$102,C83)&gt;ΡΥΘΜΙΣΕΙΣ!$B$8,"ΠΡΟΣΟΧΗ: ΥΠΕΡΒΑΣΗ ΧΩΡΗΤΙΚΟΤΗΤΑΣ","Σε αναμονή"), "")</f>
        <v/>
      </c>
      <c r="J83" s="6"/>
    </row>
    <row r="84" spans="1:10" ht="19.5" customHeight="1">
      <c r="A84" s="3">
        <v>82</v>
      </c>
      <c r="B84" s="4"/>
      <c r="C84" s="5"/>
      <c r="D84" s="6"/>
      <c r="E84" s="5"/>
      <c r="F84" s="5"/>
      <c r="G84" s="7"/>
      <c r="H84" s="3" t="str">
        <f>IF(ISNUMBER(G84), INT((G84+ΡΥΘΜΙΣΕΙΣ!$B$5-1)/ΡΥΘΜΙΣΕΙΣ!$B$5), "")</f>
        <v/>
      </c>
      <c r="I84" s="3" t="str">
        <f>IF(AND(ISNUMBER(G84), B84&lt;&gt;"", C84&lt;&gt;""), IF(SUMIFS($G$3:$G$102,$B$3:$B$102,B84,$C$3:$C$102,C84)&gt;ΡΥΘΜΙΣΕΙΣ!$B$8,"ΠΡΟΣΟΧΗ: ΥΠΕΡΒΑΣΗ ΧΩΡΗΤΙΚΟΤΗΤΑΣ","Σε αναμονή"), "")</f>
        <v/>
      </c>
      <c r="J84" s="6"/>
    </row>
    <row r="85" spans="1:10" ht="19.5" customHeight="1">
      <c r="A85" s="3">
        <v>83</v>
      </c>
      <c r="B85" s="4"/>
      <c r="C85" s="5"/>
      <c r="D85" s="6"/>
      <c r="E85" s="5"/>
      <c r="F85" s="5"/>
      <c r="G85" s="7"/>
      <c r="H85" s="3" t="str">
        <f>IF(ISNUMBER(G85), INT((G85+ΡΥΘΜΙΣΕΙΣ!$B$5-1)/ΡΥΘΜΙΣΕΙΣ!$B$5), "")</f>
        <v/>
      </c>
      <c r="I85" s="3" t="str">
        <f>IF(AND(ISNUMBER(G85), B85&lt;&gt;"", C85&lt;&gt;""), IF(SUMIFS($G$3:$G$102,$B$3:$B$102,B85,$C$3:$C$102,C85)&gt;ΡΥΘΜΙΣΕΙΣ!$B$8,"ΠΡΟΣΟΧΗ: ΥΠΕΡΒΑΣΗ ΧΩΡΗΤΙΚΟΤΗΤΑΣ","Σε αναμονή"), "")</f>
        <v/>
      </c>
      <c r="J85" s="6"/>
    </row>
    <row r="86" spans="1:10" ht="19.5" customHeight="1">
      <c r="A86" s="3">
        <v>84</v>
      </c>
      <c r="B86" s="4"/>
      <c r="C86" s="5"/>
      <c r="D86" s="6"/>
      <c r="E86" s="5"/>
      <c r="F86" s="5"/>
      <c r="G86" s="7"/>
      <c r="H86" s="3" t="str">
        <f>IF(ISNUMBER(G86), INT((G86+ΡΥΘΜΙΣΕΙΣ!$B$5-1)/ΡΥΘΜΙΣΕΙΣ!$B$5), "")</f>
        <v/>
      </c>
      <c r="I86" s="3" t="str">
        <f>IF(AND(ISNUMBER(G86), B86&lt;&gt;"", C86&lt;&gt;""), IF(SUMIFS($G$3:$G$102,$B$3:$B$102,B86,$C$3:$C$102,C86)&gt;ΡΥΘΜΙΣΕΙΣ!$B$8,"ΠΡΟΣΟΧΗ: ΥΠΕΡΒΑΣΗ ΧΩΡΗΤΙΚΟΤΗΤΑΣ","Σε αναμονή"), "")</f>
        <v/>
      </c>
      <c r="J86" s="6"/>
    </row>
    <row r="87" spans="1:10" ht="19.5" customHeight="1">
      <c r="A87" s="3">
        <v>85</v>
      </c>
      <c r="B87" s="4"/>
      <c r="C87" s="5"/>
      <c r="D87" s="6"/>
      <c r="E87" s="5"/>
      <c r="F87" s="5"/>
      <c r="G87" s="7"/>
      <c r="H87" s="3" t="str">
        <f>IF(ISNUMBER(G87), INT((G87+ΡΥΘΜΙΣΕΙΣ!$B$5-1)/ΡΥΘΜΙΣΕΙΣ!$B$5), "")</f>
        <v/>
      </c>
      <c r="I87" s="3" t="str">
        <f>IF(AND(ISNUMBER(G87), B87&lt;&gt;"", C87&lt;&gt;""), IF(SUMIFS($G$3:$G$102,$B$3:$B$102,B87,$C$3:$C$102,C87)&gt;ΡΥΘΜΙΣΕΙΣ!$B$8,"ΠΡΟΣΟΧΗ: ΥΠΕΡΒΑΣΗ ΧΩΡΗΤΙΚΟΤΗΤΑΣ","Σε αναμονή"), "")</f>
        <v/>
      </c>
      <c r="J87" s="6"/>
    </row>
    <row r="88" spans="1:10" ht="19.5" customHeight="1">
      <c r="A88" s="3">
        <v>86</v>
      </c>
      <c r="B88" s="4"/>
      <c r="C88" s="5"/>
      <c r="D88" s="6"/>
      <c r="E88" s="5"/>
      <c r="F88" s="5"/>
      <c r="G88" s="7"/>
      <c r="H88" s="3" t="str">
        <f>IF(ISNUMBER(G88), INT((G88+ΡΥΘΜΙΣΕΙΣ!$B$5-1)/ΡΥΘΜΙΣΕΙΣ!$B$5), "")</f>
        <v/>
      </c>
      <c r="I88" s="3" t="str">
        <f>IF(AND(ISNUMBER(G88), B88&lt;&gt;"", C88&lt;&gt;""), IF(SUMIFS($G$3:$G$102,$B$3:$B$102,B88,$C$3:$C$102,C88)&gt;ΡΥΘΜΙΣΕΙΣ!$B$8,"ΠΡΟΣΟΧΗ: ΥΠΕΡΒΑΣΗ ΧΩΡΗΤΙΚΟΤΗΤΑΣ","Σε αναμονή"), "")</f>
        <v/>
      </c>
      <c r="J88" s="6"/>
    </row>
    <row r="89" spans="1:10" ht="19.5" customHeight="1">
      <c r="A89" s="3">
        <v>87</v>
      </c>
      <c r="B89" s="4"/>
      <c r="C89" s="5"/>
      <c r="D89" s="6"/>
      <c r="E89" s="5"/>
      <c r="F89" s="5"/>
      <c r="G89" s="7"/>
      <c r="H89" s="3" t="str">
        <f>IF(ISNUMBER(G89), INT((G89+ΡΥΘΜΙΣΕΙΣ!$B$5-1)/ΡΥΘΜΙΣΕΙΣ!$B$5), "")</f>
        <v/>
      </c>
      <c r="I89" s="3" t="str">
        <f>IF(AND(ISNUMBER(G89), B89&lt;&gt;"", C89&lt;&gt;""), IF(SUMIFS($G$3:$G$102,$B$3:$B$102,B89,$C$3:$C$102,C89)&gt;ΡΥΘΜΙΣΕΙΣ!$B$8,"ΠΡΟΣΟΧΗ: ΥΠΕΡΒΑΣΗ ΧΩΡΗΤΙΚΟΤΗΤΑΣ","Σε αναμονή"), "")</f>
        <v/>
      </c>
      <c r="J89" s="6"/>
    </row>
    <row r="90" spans="1:10" ht="19.5" customHeight="1">
      <c r="A90" s="3">
        <v>88</v>
      </c>
      <c r="B90" s="4"/>
      <c r="C90" s="5"/>
      <c r="D90" s="6"/>
      <c r="E90" s="5"/>
      <c r="F90" s="5"/>
      <c r="G90" s="7"/>
      <c r="H90" s="3" t="str">
        <f>IF(ISNUMBER(G90), INT((G90+ΡΥΘΜΙΣΕΙΣ!$B$5-1)/ΡΥΘΜΙΣΕΙΣ!$B$5), "")</f>
        <v/>
      </c>
      <c r="I90" s="3" t="str">
        <f>IF(AND(ISNUMBER(G90), B90&lt;&gt;"", C90&lt;&gt;""), IF(SUMIFS($G$3:$G$102,$B$3:$B$102,B90,$C$3:$C$102,C90)&gt;ΡΥΘΜΙΣΕΙΣ!$B$8,"ΠΡΟΣΟΧΗ: ΥΠΕΡΒΑΣΗ ΧΩΡΗΤΙΚΟΤΗΤΑΣ","Σε αναμονή"), "")</f>
        <v/>
      </c>
      <c r="J90" s="6"/>
    </row>
    <row r="91" spans="1:10" ht="19.5" customHeight="1">
      <c r="A91" s="3">
        <v>89</v>
      </c>
      <c r="B91" s="4"/>
      <c r="C91" s="5"/>
      <c r="D91" s="6"/>
      <c r="E91" s="5"/>
      <c r="F91" s="5"/>
      <c r="G91" s="7"/>
      <c r="H91" s="3" t="str">
        <f>IF(ISNUMBER(G91), INT((G91+ΡΥΘΜΙΣΕΙΣ!$B$5-1)/ΡΥΘΜΙΣΕΙΣ!$B$5), "")</f>
        <v/>
      </c>
      <c r="I91" s="3" t="str">
        <f>IF(AND(ISNUMBER(G91), B91&lt;&gt;"", C91&lt;&gt;""), IF(SUMIFS($G$3:$G$102,$B$3:$B$102,B91,$C$3:$C$102,C91)&gt;ΡΥΘΜΙΣΕΙΣ!$B$8,"ΠΡΟΣΟΧΗ: ΥΠΕΡΒΑΣΗ ΧΩΡΗΤΙΚΟΤΗΤΑΣ","Σε αναμονή"), "")</f>
        <v/>
      </c>
      <c r="J91" s="6"/>
    </row>
    <row r="92" spans="1:10" ht="19.5" customHeight="1">
      <c r="A92" s="3">
        <v>90</v>
      </c>
      <c r="B92" s="4"/>
      <c r="C92" s="5"/>
      <c r="D92" s="6"/>
      <c r="E92" s="5"/>
      <c r="F92" s="5"/>
      <c r="G92" s="7"/>
      <c r="H92" s="3" t="str">
        <f>IF(ISNUMBER(G92), INT((G92+ΡΥΘΜΙΣΕΙΣ!$B$5-1)/ΡΥΘΜΙΣΕΙΣ!$B$5), "")</f>
        <v/>
      </c>
      <c r="I92" s="3" t="str">
        <f>IF(AND(ISNUMBER(G92), B92&lt;&gt;"", C92&lt;&gt;""), IF(SUMIFS($G$3:$G$102,$B$3:$B$102,B92,$C$3:$C$102,C92)&gt;ΡΥΘΜΙΣΕΙΣ!$B$8,"ΠΡΟΣΟΧΗ: ΥΠΕΡΒΑΣΗ ΧΩΡΗΤΙΚΟΤΗΤΑΣ","Σε αναμονή"), "")</f>
        <v/>
      </c>
      <c r="J92" s="6"/>
    </row>
    <row r="93" spans="1:10" ht="19.5" customHeight="1">
      <c r="A93" s="3">
        <v>91</v>
      </c>
      <c r="B93" s="4"/>
      <c r="C93" s="5"/>
      <c r="D93" s="6"/>
      <c r="E93" s="5"/>
      <c r="F93" s="5"/>
      <c r="G93" s="7"/>
      <c r="H93" s="3" t="str">
        <f>IF(ISNUMBER(G93), INT((G93+ΡΥΘΜΙΣΕΙΣ!$B$5-1)/ΡΥΘΜΙΣΕΙΣ!$B$5), "")</f>
        <v/>
      </c>
      <c r="I93" s="3" t="str">
        <f>IF(AND(ISNUMBER(G93), B93&lt;&gt;"", C93&lt;&gt;""), IF(SUMIFS($G$3:$G$102,$B$3:$B$102,B93,$C$3:$C$102,C93)&gt;ΡΥΘΜΙΣΕΙΣ!$B$8,"ΠΡΟΣΟΧΗ: ΥΠΕΡΒΑΣΗ ΧΩΡΗΤΙΚΟΤΗΤΑΣ","Σε αναμονή"), "")</f>
        <v/>
      </c>
      <c r="J93" s="6"/>
    </row>
    <row r="94" spans="1:10" ht="19.5" customHeight="1">
      <c r="A94" s="3">
        <v>92</v>
      </c>
      <c r="B94" s="4"/>
      <c r="C94" s="5"/>
      <c r="D94" s="6"/>
      <c r="E94" s="5"/>
      <c r="F94" s="5"/>
      <c r="G94" s="7"/>
      <c r="H94" s="3" t="str">
        <f>IF(ISNUMBER(G94), INT((G94+ΡΥΘΜΙΣΕΙΣ!$B$5-1)/ΡΥΘΜΙΣΕΙΣ!$B$5), "")</f>
        <v/>
      </c>
      <c r="I94" s="3" t="str">
        <f>IF(AND(ISNUMBER(G94), B94&lt;&gt;"", C94&lt;&gt;""), IF(SUMIFS($G$3:$G$102,$B$3:$B$102,B94,$C$3:$C$102,C94)&gt;ΡΥΘΜΙΣΕΙΣ!$B$8,"ΠΡΟΣΟΧΗ: ΥΠΕΡΒΑΣΗ ΧΩΡΗΤΙΚΟΤΗΤΑΣ","Σε αναμονή"), "")</f>
        <v/>
      </c>
      <c r="J94" s="6"/>
    </row>
    <row r="95" spans="1:10" ht="19.5" customHeight="1">
      <c r="A95" s="3">
        <v>93</v>
      </c>
      <c r="B95" s="4"/>
      <c r="C95" s="5"/>
      <c r="D95" s="6"/>
      <c r="E95" s="5"/>
      <c r="F95" s="5"/>
      <c r="G95" s="7"/>
      <c r="H95" s="3" t="str">
        <f>IF(ISNUMBER(G95), INT((G95+ΡΥΘΜΙΣΕΙΣ!$B$5-1)/ΡΥΘΜΙΣΕΙΣ!$B$5), "")</f>
        <v/>
      </c>
      <c r="I95" s="3" t="str">
        <f>IF(AND(ISNUMBER(G95), B95&lt;&gt;"", C95&lt;&gt;""), IF(SUMIFS($G$3:$G$102,$B$3:$B$102,B95,$C$3:$C$102,C95)&gt;ΡΥΘΜΙΣΕΙΣ!$B$8,"ΠΡΟΣΟΧΗ: ΥΠΕΡΒΑΣΗ ΧΩΡΗΤΙΚΟΤΗΤΑΣ","Σε αναμονή"), "")</f>
        <v/>
      </c>
      <c r="J95" s="6"/>
    </row>
    <row r="96" spans="1:10" ht="19.5" customHeight="1">
      <c r="A96" s="3">
        <v>94</v>
      </c>
      <c r="B96" s="4"/>
      <c r="C96" s="5"/>
      <c r="D96" s="6"/>
      <c r="E96" s="5"/>
      <c r="F96" s="5"/>
      <c r="G96" s="7"/>
      <c r="H96" s="3" t="str">
        <f>IF(ISNUMBER(G96), INT((G96+ΡΥΘΜΙΣΕΙΣ!$B$5-1)/ΡΥΘΜΙΣΕΙΣ!$B$5), "")</f>
        <v/>
      </c>
      <c r="I96" s="3" t="str">
        <f>IF(AND(ISNUMBER(G96), B96&lt;&gt;"", C96&lt;&gt;""), IF(SUMIFS($G$3:$G$102,$B$3:$B$102,B96,$C$3:$C$102,C96)&gt;ΡΥΘΜΙΣΕΙΣ!$B$8,"ΠΡΟΣΟΧΗ: ΥΠΕΡΒΑΣΗ ΧΩΡΗΤΙΚΟΤΗΤΑΣ","Σε αναμονή"), "")</f>
        <v/>
      </c>
      <c r="J96" s="6"/>
    </row>
    <row r="97" spans="1:10" ht="19.5" customHeight="1">
      <c r="A97" s="3">
        <v>95</v>
      </c>
      <c r="B97" s="4"/>
      <c r="C97" s="5"/>
      <c r="D97" s="6"/>
      <c r="E97" s="5"/>
      <c r="F97" s="5"/>
      <c r="G97" s="7"/>
      <c r="H97" s="3" t="str">
        <f>IF(ISNUMBER(G97), INT((G97+ΡΥΘΜΙΣΕΙΣ!$B$5-1)/ΡΥΘΜΙΣΕΙΣ!$B$5), "")</f>
        <v/>
      </c>
      <c r="I97" s="3" t="str">
        <f>IF(AND(ISNUMBER(G97), B97&lt;&gt;"", C97&lt;&gt;""), IF(SUMIFS($G$3:$G$102,$B$3:$B$102,B97,$C$3:$C$102,C97)&gt;ΡΥΘΜΙΣΕΙΣ!$B$8,"ΠΡΟΣΟΧΗ: ΥΠΕΡΒΑΣΗ ΧΩΡΗΤΙΚΟΤΗΤΑΣ","Σε αναμονή"), "")</f>
        <v/>
      </c>
      <c r="J97" s="6"/>
    </row>
    <row r="98" spans="1:10" ht="19.5" customHeight="1">
      <c r="A98" s="3">
        <v>96</v>
      </c>
      <c r="B98" s="4"/>
      <c r="C98" s="5"/>
      <c r="D98" s="6"/>
      <c r="E98" s="5"/>
      <c r="F98" s="5"/>
      <c r="G98" s="7"/>
      <c r="H98" s="3" t="str">
        <f>IF(ISNUMBER(G98), INT((G98+ΡΥΘΜΙΣΕΙΣ!$B$5-1)/ΡΥΘΜΙΣΕΙΣ!$B$5), "")</f>
        <v/>
      </c>
      <c r="I98" s="3" t="str">
        <f>IF(AND(ISNUMBER(G98), B98&lt;&gt;"", C98&lt;&gt;""), IF(SUMIFS($G$3:$G$102,$B$3:$B$102,B98,$C$3:$C$102,C98)&gt;ΡΥΘΜΙΣΕΙΣ!$B$8,"ΠΡΟΣΟΧΗ: ΥΠΕΡΒΑΣΗ ΧΩΡΗΤΙΚΟΤΗΤΑΣ","Σε αναμονή"), "")</f>
        <v/>
      </c>
      <c r="J98" s="6"/>
    </row>
    <row r="99" spans="1:10" ht="19.5" customHeight="1">
      <c r="A99" s="3">
        <v>97</v>
      </c>
      <c r="B99" s="4"/>
      <c r="C99" s="5"/>
      <c r="D99" s="6"/>
      <c r="E99" s="5"/>
      <c r="F99" s="5"/>
      <c r="G99" s="7"/>
      <c r="H99" s="3" t="str">
        <f>IF(ISNUMBER(G99), INT((G99+ΡΥΘΜΙΣΕΙΣ!$B$5-1)/ΡΥΘΜΙΣΕΙΣ!$B$5), "")</f>
        <v/>
      </c>
      <c r="I99" s="3" t="str">
        <f>IF(AND(ISNUMBER(G99), B99&lt;&gt;"", C99&lt;&gt;""), IF(SUMIFS($G$3:$G$102,$B$3:$B$102,B99,$C$3:$C$102,C99)&gt;ΡΥΘΜΙΣΕΙΣ!$B$8,"ΠΡΟΣΟΧΗ: ΥΠΕΡΒΑΣΗ ΧΩΡΗΤΙΚΟΤΗΤΑΣ","Σε αναμονή"), "")</f>
        <v/>
      </c>
      <c r="J99" s="6"/>
    </row>
    <row r="100" spans="1:10" ht="19.5" customHeight="1">
      <c r="A100" s="3">
        <v>98</v>
      </c>
      <c r="B100" s="4"/>
      <c r="C100" s="5"/>
      <c r="D100" s="6"/>
      <c r="E100" s="5"/>
      <c r="F100" s="5"/>
      <c r="G100" s="7"/>
      <c r="H100" s="3" t="str">
        <f>IF(ISNUMBER(G100), INT((G100+ΡΥΘΜΙΣΕΙΣ!$B$5-1)/ΡΥΘΜΙΣΕΙΣ!$B$5), "")</f>
        <v/>
      </c>
      <c r="I100" s="3" t="str">
        <f>IF(AND(ISNUMBER(G100), B100&lt;&gt;"", C100&lt;&gt;""), IF(SUMIFS($G$3:$G$102,$B$3:$B$102,B100,$C$3:$C$102,C100)&gt;ΡΥΘΜΙΣΕΙΣ!$B$8,"ΠΡΟΣΟΧΗ: ΥΠΕΡΒΑΣΗ ΧΩΡΗΤΙΚΟΤΗΤΑΣ","Σε αναμονή"), "")</f>
        <v/>
      </c>
      <c r="J100" s="6"/>
    </row>
    <row r="101" spans="1:10" ht="19.5" customHeight="1">
      <c r="A101" s="3">
        <v>99</v>
      </c>
      <c r="B101" s="4"/>
      <c r="C101" s="5"/>
      <c r="D101" s="6"/>
      <c r="E101" s="5"/>
      <c r="F101" s="5"/>
      <c r="G101" s="7"/>
      <c r="H101" s="3" t="str">
        <f>IF(ISNUMBER(G101), INT((G101+ΡΥΘΜΙΣΕΙΣ!$B$5-1)/ΡΥΘΜΙΣΕΙΣ!$B$5), "")</f>
        <v/>
      </c>
      <c r="I101" s="3" t="str">
        <f>IF(AND(ISNUMBER(G101), B101&lt;&gt;"", C101&lt;&gt;""), IF(SUMIFS($G$3:$G$102,$B$3:$B$102,B101,$C$3:$C$102,C101)&gt;ΡΥΘΜΙΣΕΙΣ!$B$8,"ΠΡΟΣΟΧΗ: ΥΠΕΡΒΑΣΗ ΧΩΡΗΤΙΚΟΤΗΤΑΣ","Σε αναμονή"), "")</f>
        <v/>
      </c>
      <c r="J101" s="6"/>
    </row>
    <row r="102" spans="1:10" ht="19.5" customHeight="1">
      <c r="A102" s="3">
        <v>100</v>
      </c>
      <c r="B102" s="4"/>
      <c r="C102" s="5"/>
      <c r="D102" s="6"/>
      <c r="E102" s="5"/>
      <c r="F102" s="5"/>
      <c r="G102" s="7"/>
      <c r="H102" s="3" t="str">
        <f>IF(ISNUMBER(G102), INT((G102+ΡΥΘΜΙΣΕΙΣ!$B$5-1)/ΡΥΘΜΙΣΕΙΣ!$B$5), "")</f>
        <v/>
      </c>
      <c r="I102" s="3" t="str">
        <f>IF(AND(ISNUMBER(G102), B102&lt;&gt;"", C102&lt;&gt;""), IF(SUMIFS($G$3:$G$102,$B$3:$B$102,B102,$C$3:$C$102,C102)&gt;ΡΥΘΜΙΣΕΙΣ!$B$8,"ΠΡΟΣΟΧΗ: ΥΠΕΡΒΑΣΗ ΧΩΡΗΤΙΚΟΤΗΤΑΣ","Σε αναμονή"), "")</f>
        <v/>
      </c>
      <c r="J102" s="6"/>
    </row>
  </sheetData>
  <mergeCells count="1">
    <mergeCell ref="A1:J1"/>
  </mergeCells>
  <conditionalFormatting sqref="I3:I102">
    <cfRule type="cellIs" dxfId="7" priority="2" operator="equal">
      <formula>"Σε αναμονή"</formula>
    </cfRule>
    <cfRule type="cellIs" dxfId="6" priority="3" operator="equal">
      <formula>"Έφτασε"</formula>
    </cfRule>
    <cfRule type="cellIs" dxfId="5" priority="4" operator="equal">
      <formula>"Σε επεξεργασία"</formula>
    </cfRule>
    <cfRule type="cellIs" dxfId="4" priority="5" operator="equal">
      <formula>"Ολοκληρώθηκε"</formula>
    </cfRule>
    <cfRule type="cellIs" dxfId="3" priority="6" operator="equal">
      <formula>"Ακυρώθηκε"</formula>
    </cfRule>
    <cfRule type="cellIs" dxfId="2" priority="7" operator="equal">
      <formula>"ΠΡΟΣΟΧΗ: ΥΠΕΡΒΑΣΗ ΧΩΡΗΤΙΚΟΤΗΤΑΣ"</formula>
    </cfRule>
  </conditionalFormatting>
  <dataValidations count="2">
    <dataValidation type="list" allowBlank="1" sqref="C3:C102">
      <formula1>ΡΥΘΜΙΣΕΙΣ!$A$14:$A$25</formula1>
      <formula2>0</formula2>
    </dataValidation>
    <dataValidation type="list" allowBlank="1" sqref="I3:I102">
      <formula1>ΡΥΘΜΙΣΕΙΣ!$C$14:$C$18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B2" sqref="B2"/>
    </sheetView>
  </sheetViews>
  <sheetFormatPr defaultColWidth="8.7109375" defaultRowHeight="15"/>
  <cols>
    <col min="1" max="1" width="20" style="1" customWidth="1"/>
    <col min="2" max="2" width="18" style="1" customWidth="1"/>
    <col min="3" max="3" width="20" style="1" customWidth="1"/>
    <col min="4" max="4" width="22" style="1" customWidth="1"/>
    <col min="5" max="5" width="24" style="1" customWidth="1"/>
    <col min="6" max="6" width="30" style="1" customWidth="1"/>
  </cols>
  <sheetData>
    <row r="1" spans="1:6" ht="20.25" customHeight="1">
      <c r="A1" s="27" t="s">
        <v>22</v>
      </c>
      <c r="B1" s="27"/>
      <c r="C1" s="27"/>
      <c r="D1" s="27"/>
      <c r="E1" s="27"/>
      <c r="F1" s="27"/>
    </row>
    <row r="2" spans="1:6" ht="15" customHeight="1">
      <c r="A2" s="8" t="s">
        <v>23</v>
      </c>
      <c r="B2" s="9">
        <v>46310</v>
      </c>
      <c r="D2" s="10" t="s">
        <v>24</v>
      </c>
    </row>
    <row r="4" spans="1:6" ht="24.7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</row>
    <row r="5" spans="1:6" ht="24" customHeight="1">
      <c r="A5" s="11" t="s">
        <v>31</v>
      </c>
      <c r="B5" s="12">
        <f>COUNTIFS(ΡΑΝΤΕΒΟΥ!$B$3:$B$102, $B$2, ΡΑΝΤΕΒΟΥ!$C$3:$C$102, "00:00", ΡΑΝΤΕΒΟΥ!$I$3:$I$102, "&lt;&gt;Ακυρώθηκε")</f>
        <v>0</v>
      </c>
      <c r="C5" s="13">
        <f>SUMIFS(ΡΑΝΤΕΒΟΥ!$G$3:$G$102, ΡΑΝΤΕΒΟΥ!$B$3:$B$102, $B$2, ΡΑΝΤΕΒΟΥ!$C$3:$C$102, "00:00", ΡΑΝΤΕΒΟΥ!$I$3:$I$102, "&lt;&gt;Ακυρώθηκε")</f>
        <v>0</v>
      </c>
      <c r="D5" s="3">
        <f>IF(C5&gt;0, INT((C5+ΡΥΘΜΙΣΕΙΣ!$B$5-1)/ΡΥΘΜΙΣΕΙΣ!$B$5), 0)</f>
        <v>0</v>
      </c>
      <c r="E5" s="14">
        <f>C5/ΡΥΘΜΙΣΕΙΣ!$B$8</f>
        <v>0</v>
      </c>
      <c r="F5" s="3" t="str">
        <f>IF(C5&gt;ΡΥΘΜΙΣΕΙΣ!$B$8, "ΥΠΕΡΒΑΣΗ ΧΩΡΗΤΙΚΟΤΗΤΑΣ", "ΚΑΝΟΝΙΚΟ")</f>
        <v>ΚΑΝΟΝΙΚΟ</v>
      </c>
    </row>
    <row r="6" spans="1:6" ht="24" customHeight="1">
      <c r="A6" s="11" t="s">
        <v>32</v>
      </c>
      <c r="B6" s="12">
        <f>COUNTIFS(ΡΑΝΤΕΒΟΥ!$B$3:$B$102, $B$2, ΡΑΝΤΕΒΟΥ!$C$3:$C$102, "02:00", ΡΑΝΤΕΒΟΥ!$I$3:$I$102, "&lt;&gt;Ακυρώθηκε")</f>
        <v>0</v>
      </c>
      <c r="C6" s="13">
        <f>SUMIFS(ΡΑΝΤΕΒΟΥ!$G$3:$G$102, ΡΑΝΤΕΒΟΥ!$B$3:$B$102, $B$2, ΡΑΝΤΕΒΟΥ!$C$3:$C$102, "02:00", ΡΑΝΤΕΒΟΥ!$I$3:$I$102, "&lt;&gt;Ακυρώθηκε")</f>
        <v>0</v>
      </c>
      <c r="D6" s="3">
        <f>IF(C6&gt;0, INT((C6+ΡΥΘΜΙΣΕΙΣ!$B$5-1)/ΡΥΘΜΙΣΕΙΣ!$B$5), 0)</f>
        <v>0</v>
      </c>
      <c r="E6" s="14">
        <f>C6/ΡΥΘΜΙΣΕΙΣ!$B$8</f>
        <v>0</v>
      </c>
      <c r="F6" s="3" t="str">
        <f>IF(C6&gt;ΡΥΘΜΙΣΕΙΣ!$B$8, "ΥΠΕΡΒΑΣΗ ΧΩΡΗΤΙΚΟΤΗΤΑΣ", "ΚΑΝΟΝΙΚΟ")</f>
        <v>ΚΑΝΟΝΙΚΟ</v>
      </c>
    </row>
    <row r="7" spans="1:6" ht="24" customHeight="1">
      <c r="A7" s="11" t="s">
        <v>33</v>
      </c>
      <c r="B7" s="12">
        <f>COUNTIFS(ΡΑΝΤΕΒΟΥ!$B$3:$B$102, $B$2, ΡΑΝΤΕΒΟΥ!$C$3:$C$102, "04:00", ΡΑΝΤΕΒΟΥ!$I$3:$I$102, "&lt;&gt;Ακυρώθηκε")</f>
        <v>0</v>
      </c>
      <c r="C7" s="13">
        <f>SUMIFS(ΡΑΝΤΕΒΟΥ!$G$3:$G$102, ΡΑΝΤΕΒΟΥ!$B$3:$B$102, $B$2, ΡΑΝΤΕΒΟΥ!$C$3:$C$102, "04:00", ΡΑΝΤΕΒΟΥ!$I$3:$I$102, "&lt;&gt;Ακυρώθηκε")</f>
        <v>0</v>
      </c>
      <c r="D7" s="3">
        <f>IF(C7&gt;0, INT((C7+ΡΥΘΜΙΣΕΙΣ!$B$5-1)/ΡΥΘΜΙΣΕΙΣ!$B$5), 0)</f>
        <v>0</v>
      </c>
      <c r="E7" s="14">
        <f>C7/ΡΥΘΜΙΣΕΙΣ!$B$8</f>
        <v>0</v>
      </c>
      <c r="F7" s="3" t="str">
        <f>IF(C7&gt;ΡΥΘΜΙΣΕΙΣ!$B$8, "ΥΠΕΡΒΑΣΗ ΧΩΡΗΤΙΚΟΤΗΤΑΣ", "ΚΑΝΟΝΙΚΟ")</f>
        <v>ΚΑΝΟΝΙΚΟ</v>
      </c>
    </row>
    <row r="8" spans="1:6" ht="24" customHeight="1">
      <c r="A8" s="11" t="s">
        <v>34</v>
      </c>
      <c r="B8" s="12">
        <f>COUNTIFS(ΡΑΝΤΕΒΟΥ!$B$3:$B$102, $B$2, ΡΑΝΤΕΒΟΥ!$C$3:$C$102, "06:00", ΡΑΝΤΕΒΟΥ!$I$3:$I$102, "&lt;&gt;Ακυρώθηκε")</f>
        <v>0</v>
      </c>
      <c r="C8" s="13">
        <f>SUMIFS(ΡΑΝΤΕΒΟΥ!$G$3:$G$102, ΡΑΝΤΕΒΟΥ!$B$3:$B$102, $B$2, ΡΑΝΤΕΒΟΥ!$C$3:$C$102, "06:00", ΡΑΝΤΕΒΟΥ!$I$3:$I$102, "&lt;&gt;Ακυρώθηκε")</f>
        <v>0</v>
      </c>
      <c r="D8" s="3">
        <f>IF(C8&gt;0, INT((C8+ΡΥΘΜΙΣΕΙΣ!$B$5-1)/ΡΥΘΜΙΣΕΙΣ!$B$5), 0)</f>
        <v>0</v>
      </c>
      <c r="E8" s="14">
        <f>C8/ΡΥΘΜΙΣΕΙΣ!$B$8</f>
        <v>0</v>
      </c>
      <c r="F8" s="3" t="str">
        <f>IF(C8&gt;ΡΥΘΜΙΣΕΙΣ!$B$8, "ΥΠΕΡΒΑΣΗ ΧΩΡΗΤΙΚΟΤΗΤΑΣ", "ΚΑΝΟΝΙΚΟ")</f>
        <v>ΚΑΝΟΝΙΚΟ</v>
      </c>
    </row>
    <row r="9" spans="1:6" ht="24" customHeight="1">
      <c r="A9" s="11" t="s">
        <v>35</v>
      </c>
      <c r="B9" s="12">
        <f>COUNTIFS(ΡΑΝΤΕΒΟΥ!$B$3:$B$102, $B$2, ΡΑΝΤΕΒΟΥ!$C$3:$C$102, "08:00", ΡΑΝΤΕΒΟΥ!$I$3:$I$102, "&lt;&gt;Ακυρώθηκε")</f>
        <v>2</v>
      </c>
      <c r="C9" s="13">
        <f>SUMIFS(ΡΑΝΤΕΒΟΥ!$G$3:$G$102, ΡΑΝΤΕΒΟΥ!$B$3:$B$102, $B$2, ΡΑΝΤΕΒΟΥ!$C$3:$C$102, "08:00", ΡΑΝΤΕΒΟΥ!$I$3:$I$102, "&lt;&gt;Ακυρώθηκε")</f>
        <v>1800</v>
      </c>
      <c r="D9" s="3">
        <f>IF(C9&gt;0, INT((C9+ΡΥΘΜΙΣΕΙΣ!$B$5-1)/ΡΥΘΜΙΣΕΙΣ!$B$5), 0)</f>
        <v>3</v>
      </c>
      <c r="E9" s="14">
        <f>C9/ΡΥΘΜΙΣΕΙΣ!$B$8</f>
        <v>0.42857142857142855</v>
      </c>
      <c r="F9" s="3" t="str">
        <f>IF(C9&gt;ΡΥΘΜΙΣΕΙΣ!$B$8, "ΥΠΕΡΒΑΣΗ ΧΩΡΗΤΙΚΟΤΗΤΑΣ", "ΚΑΝΟΝΙΚΟ")</f>
        <v>ΚΑΝΟΝΙΚΟ</v>
      </c>
    </row>
    <row r="10" spans="1:6" ht="24" customHeight="1">
      <c r="A10" s="11" t="s">
        <v>36</v>
      </c>
      <c r="B10" s="12">
        <f>COUNTIFS(ΡΑΝΤΕΒΟΥ!$B$3:$B$102, $B$2, ΡΑΝΤΕΒΟΥ!$C$3:$C$102, "10:00", ΡΑΝΤΕΒΟΥ!$I$3:$I$102, "&lt;&gt;Ακυρώθηκε")</f>
        <v>3</v>
      </c>
      <c r="C10" s="13">
        <f>SUMIFS(ΡΑΝΤΕΒΟΥ!$G$3:$G$102, ΡΑΝΤΕΒΟΥ!$B$3:$B$102, $B$2, ΡΑΝΤΕΒΟΥ!$C$3:$C$102, "10:00", ΡΑΝΤΕΒΟΥ!$I$3:$I$102, "&lt;&gt;Ακυρώθηκε")</f>
        <v>5300</v>
      </c>
      <c r="D10" s="3">
        <f>IF(C10&gt;0, INT((C10+ΡΥΘΜΙΣΕΙΣ!$B$5-1)/ΡΥΘΜΙΣΕΙΣ!$B$5), 0)</f>
        <v>9</v>
      </c>
      <c r="E10" s="14">
        <f>C10/ΡΥΘΜΙΣΕΙΣ!$B$8</f>
        <v>1.2619047619047619</v>
      </c>
      <c r="F10" s="3" t="str">
        <f>IF(C10&gt;ΡΥΘΜΙΣΕΙΣ!$B$8, "ΥΠΕΡΒΑΣΗ ΧΩΡΗΤΙΚΟΤΗΤΑΣ", "ΚΑΝΟΝΙΚΟ")</f>
        <v>ΥΠΕΡΒΑΣΗ ΧΩΡΗΤΙΚΟΤΗΤΑΣ</v>
      </c>
    </row>
    <row r="11" spans="1:6" ht="24" customHeight="1">
      <c r="A11" s="11" t="s">
        <v>37</v>
      </c>
      <c r="B11" s="12">
        <f>COUNTIFS(ΡΑΝΤΕΒΟΥ!$B$3:$B$102, $B$2, ΡΑΝΤΕΒΟΥ!$C$3:$C$102, "12:00", ΡΑΝΤΕΒΟΥ!$I$3:$I$102, "&lt;&gt;Ακυρώθηκε")</f>
        <v>1</v>
      </c>
      <c r="C11" s="13">
        <f>SUMIFS(ΡΑΝΤΕΒΟΥ!$G$3:$G$102, ΡΑΝΤΕΒΟΥ!$B$3:$B$102, $B$2, ΡΑΝΤΕΒΟΥ!$C$3:$C$102, "12:00", ΡΑΝΤΕΒΟΥ!$I$3:$I$102, "&lt;&gt;Ακυρώθηκε")</f>
        <v>600</v>
      </c>
      <c r="D11" s="3">
        <f>IF(C11&gt;0, INT((C11+ΡΥΘΜΙΣΕΙΣ!$B$5-1)/ΡΥΘΜΙΣΕΙΣ!$B$5), 0)</f>
        <v>1</v>
      </c>
      <c r="E11" s="14">
        <f>C11/ΡΥΘΜΙΣΕΙΣ!$B$8</f>
        <v>0.14285714285714285</v>
      </c>
      <c r="F11" s="3" t="str">
        <f>IF(C11&gt;ΡΥΘΜΙΣΕΙΣ!$B$8, "ΥΠΕΡΒΑΣΗ ΧΩΡΗΤΙΚΟΤΗΤΑΣ", "ΚΑΝΟΝΙΚΟ")</f>
        <v>ΚΑΝΟΝΙΚΟ</v>
      </c>
    </row>
    <row r="12" spans="1:6" ht="24" customHeight="1">
      <c r="A12" s="11" t="s">
        <v>38</v>
      </c>
      <c r="B12" s="12">
        <f>COUNTIFS(ΡΑΝΤΕΒΟΥ!$B$3:$B$102, $B$2, ΡΑΝΤΕΒΟΥ!$C$3:$C$102, "14:00", ΡΑΝΤΕΒΟΥ!$I$3:$I$102, "&lt;&gt;Ακυρώθηκε")</f>
        <v>2</v>
      </c>
      <c r="C12" s="13">
        <f>SUMIFS(ΡΑΝΤΕΒΟΥ!$G$3:$G$102, ΡΑΝΤΕΒΟΥ!$B$3:$B$102, $B$2, ΡΑΝΤΕΒΟΥ!$C$3:$C$102, "14:00", ΡΑΝΤΕΒΟΥ!$I$3:$I$102, "&lt;&gt;Ακυρώθηκε")</f>
        <v>4150</v>
      </c>
      <c r="D12" s="3">
        <f>IF(C12&gt;0, INT((C12+ΡΥΘΜΙΣΕΙΣ!$B$5-1)/ΡΥΘΜΙΣΕΙΣ!$B$5), 0)</f>
        <v>7</v>
      </c>
      <c r="E12" s="14">
        <f>C12/ΡΥΘΜΙΣΕΙΣ!$B$8</f>
        <v>0.98809523809523814</v>
      </c>
      <c r="F12" s="3" t="str">
        <f>IF(C12&gt;ΡΥΘΜΙΣΕΙΣ!$B$8, "ΥΠΕΡΒΑΣΗ ΧΩΡΗΤΙΚΟΤΗΤΑΣ", "ΚΑΝΟΝΙΚΟ")</f>
        <v>ΚΑΝΟΝΙΚΟ</v>
      </c>
    </row>
    <row r="13" spans="1:6" ht="24" customHeight="1">
      <c r="A13" s="11" t="s">
        <v>39</v>
      </c>
      <c r="B13" s="12">
        <f>COUNTIFS(ΡΑΝΤΕΒΟΥ!$B$3:$B$102, $B$2, ΡΑΝΤΕΒΟΥ!$C$3:$C$102, "16:00", ΡΑΝΤΕΒΟΥ!$I$3:$I$102, "&lt;&gt;Ακυρώθηκε")</f>
        <v>0</v>
      </c>
      <c r="C13" s="13">
        <f>SUMIFS(ΡΑΝΤΕΒΟΥ!$G$3:$G$102, ΡΑΝΤΕΒΟΥ!$B$3:$B$102, $B$2, ΡΑΝΤΕΒΟΥ!$C$3:$C$102, "16:00", ΡΑΝΤΕΒΟΥ!$I$3:$I$102, "&lt;&gt;Ακυρώθηκε")</f>
        <v>0</v>
      </c>
      <c r="D13" s="3">
        <f>IF(C13&gt;0, INT((C13+ΡΥΘΜΙΣΕΙΣ!$B$5-1)/ΡΥΘΜΙΣΕΙΣ!$B$5), 0)</f>
        <v>0</v>
      </c>
      <c r="E13" s="14">
        <f>C13/ΡΥΘΜΙΣΕΙΣ!$B$8</f>
        <v>0</v>
      </c>
      <c r="F13" s="3" t="str">
        <f>IF(C13&gt;ΡΥΘΜΙΣΕΙΣ!$B$8, "ΥΠΕΡΒΑΣΗ ΧΩΡΗΤΙΚΟΤΗΤΑΣ", "ΚΑΝΟΝΙΚΟ")</f>
        <v>ΚΑΝΟΝΙΚΟ</v>
      </c>
    </row>
    <row r="14" spans="1:6" ht="24" customHeight="1">
      <c r="A14" s="11" t="s">
        <v>40</v>
      </c>
      <c r="B14" s="12">
        <f>COUNTIFS(ΡΑΝΤΕΒΟΥ!$B$3:$B$102, $B$2, ΡΑΝΤΕΒΟΥ!$C$3:$C$102, "18:00", ΡΑΝΤΕΒΟΥ!$I$3:$I$102, "&lt;&gt;Ακυρώθηκε")</f>
        <v>0</v>
      </c>
      <c r="C14" s="13">
        <f>SUMIFS(ΡΑΝΤΕΒΟΥ!$G$3:$G$102, ΡΑΝΤΕΒΟΥ!$B$3:$B$102, $B$2, ΡΑΝΤΕΒΟΥ!$C$3:$C$102, "18:00", ΡΑΝΤΕΒΟΥ!$I$3:$I$102, "&lt;&gt;Ακυρώθηκε")</f>
        <v>0</v>
      </c>
      <c r="D14" s="3">
        <f>IF(C14&gt;0, INT((C14+ΡΥΘΜΙΣΕΙΣ!$B$5-1)/ΡΥΘΜΙΣΕΙΣ!$B$5), 0)</f>
        <v>0</v>
      </c>
      <c r="E14" s="14">
        <f>C14/ΡΥΘΜΙΣΕΙΣ!$B$8</f>
        <v>0</v>
      </c>
      <c r="F14" s="3" t="str">
        <f>IF(C14&gt;ΡΥΘΜΙΣΕΙΣ!$B$8, "ΥΠΕΡΒΑΣΗ ΧΩΡΗΤΙΚΟΤΗΤΑΣ", "ΚΑΝΟΝΙΚΟ")</f>
        <v>ΚΑΝΟΝΙΚΟ</v>
      </c>
    </row>
    <row r="15" spans="1:6" ht="24" customHeight="1">
      <c r="A15" s="11" t="s">
        <v>41</v>
      </c>
      <c r="B15" s="12">
        <f>COUNTIFS(ΡΑΝΤΕΒΟΥ!$B$3:$B$102, $B$2, ΡΑΝΤΕΒΟΥ!$C$3:$C$102, "20:00", ΡΑΝΤΕΒΟΥ!$I$3:$I$102, "&lt;&gt;Ακυρώθηκε")</f>
        <v>0</v>
      </c>
      <c r="C15" s="13">
        <f>SUMIFS(ΡΑΝΤΕΒΟΥ!$G$3:$G$102, ΡΑΝΤΕΒΟΥ!$B$3:$B$102, $B$2, ΡΑΝΤΕΒΟΥ!$C$3:$C$102, "20:00", ΡΑΝΤΕΒΟΥ!$I$3:$I$102, "&lt;&gt;Ακυρώθηκε")</f>
        <v>0</v>
      </c>
      <c r="D15" s="3">
        <f>IF(C15&gt;0, INT((C15+ΡΥΘΜΙΣΕΙΣ!$B$5-1)/ΡΥΘΜΙΣΕΙΣ!$B$5), 0)</f>
        <v>0</v>
      </c>
      <c r="E15" s="14">
        <f>C15/ΡΥΘΜΙΣΕΙΣ!$B$8</f>
        <v>0</v>
      </c>
      <c r="F15" s="3" t="str">
        <f>IF(C15&gt;ΡΥΘΜΙΣΕΙΣ!$B$8, "ΥΠΕΡΒΑΣΗ ΧΩΡΗΤΙΚΟΤΗΤΑΣ", "ΚΑΝΟΝΙΚΟ")</f>
        <v>ΚΑΝΟΝΙΚΟ</v>
      </c>
    </row>
    <row r="16" spans="1:6" ht="24" customHeight="1">
      <c r="A16" s="11" t="s">
        <v>42</v>
      </c>
      <c r="B16" s="12">
        <f>COUNTIFS(ΡΑΝΤΕΒΟΥ!$B$3:$B$102, $B$2, ΡΑΝΤΕΒΟΥ!$C$3:$C$102, "22:00", ΡΑΝΤΕΒΟΥ!$I$3:$I$102, "&lt;&gt;Ακυρώθηκε")</f>
        <v>0</v>
      </c>
      <c r="C16" s="13">
        <f>SUMIFS(ΡΑΝΤΕΒΟΥ!$G$3:$G$102, ΡΑΝΤΕΒΟΥ!$B$3:$B$102, $B$2, ΡΑΝΤΕΒΟΥ!$C$3:$C$102, "22:00", ΡΑΝΤΕΒΟΥ!$I$3:$I$102, "&lt;&gt;Ακυρώθηκε")</f>
        <v>0</v>
      </c>
      <c r="D16" s="3">
        <f>IF(C16&gt;0, INT((C16+ΡΥΘΜΙΣΕΙΣ!$B$5-1)/ΡΥΘΜΙΣΕΙΣ!$B$5), 0)</f>
        <v>0</v>
      </c>
      <c r="E16" s="14">
        <f>C16/ΡΥΘΜΙΣΕΙΣ!$B$8</f>
        <v>0</v>
      </c>
      <c r="F16" s="3" t="str">
        <f>IF(C16&gt;ΡΥΘΜΙΣΕΙΣ!$B$8, "ΥΠΕΡΒΑΣΗ ΧΩΡΗΤΙΚΟΤΗΤΑΣ", "ΚΑΝΟΝΙΚΟ")</f>
        <v>ΚΑΝΟΝΙΚΟ</v>
      </c>
    </row>
    <row r="17" spans="1:6" ht="24.75" customHeight="1">
      <c r="A17" s="15" t="s">
        <v>43</v>
      </c>
      <c r="B17" s="3">
        <f>SUM(B5:B16)</f>
        <v>8</v>
      </c>
      <c r="C17" s="16">
        <f>SUM(C5:C16)</f>
        <v>11850</v>
      </c>
      <c r="D17" s="3">
        <f>SUM(D5:D16)</f>
        <v>20</v>
      </c>
      <c r="E17" s="17">
        <f>C17/ΡΥΘΜΙΣΕΙΣ!$B$10</f>
        <v>0.23511904761904762</v>
      </c>
      <c r="F17" s="3" t="str">
        <f>IF(C17&gt;ΡΥΘΜΙΣΕΙΣ!$B$10, "ΥΠΕΡΒΑΣΗ ΧΩΡΗΤΙΚΟΤΗΤΑΣ", "ΚΑΝΟΝΙΚΟ")</f>
        <v>ΚΑΝΟΝΙΚΟ</v>
      </c>
    </row>
  </sheetData>
  <sheetProtection sheet="1"/>
  <mergeCells count="1">
    <mergeCell ref="A1:F1"/>
  </mergeCells>
  <conditionalFormatting sqref="F5:F17">
    <cfRule type="cellIs" dxfId="1" priority="2" operator="equal">
      <formula>"ΥΠΕΡΒΑΣΗ ΧΩΡΗΤΙΚΟΤΗΤΑΣ"</formula>
    </cfRule>
    <cfRule type="cellIs" dxfId="0" priority="3" operator="equal">
      <formula>"ΚΑΝΟΝΙΚΟ"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selection activeCell="E11" sqref="E11:F11"/>
    </sheetView>
  </sheetViews>
  <sheetFormatPr defaultColWidth="8.7109375" defaultRowHeight="15"/>
  <cols>
    <col min="1" max="1" width="12" style="1" customWidth="1"/>
    <col min="2" max="3" width="18" style="1" customWidth="1"/>
  </cols>
  <sheetData>
    <row r="1" spans="1:9" ht="20.25" customHeight="1">
      <c r="A1" s="27" t="s">
        <v>44</v>
      </c>
      <c r="B1" s="27"/>
      <c r="C1" s="27"/>
      <c r="D1" s="27"/>
      <c r="E1" s="27"/>
      <c r="F1" s="27"/>
      <c r="G1" s="27"/>
      <c r="H1" s="27"/>
    </row>
    <row r="2" spans="1:9" ht="15" customHeight="1">
      <c r="A2" s="8" t="s">
        <v>45</v>
      </c>
      <c r="B2" s="18">
        <f>'ΗΜΕΡΗΣΙΟ ΠΡΟΓΡΑΜΜΑ'!B2</f>
        <v>46310</v>
      </c>
    </row>
    <row r="4" spans="1:9" ht="15" customHeight="1">
      <c r="B4" s="41" t="s">
        <v>46</v>
      </c>
      <c r="C4" s="41"/>
      <c r="E4" s="41" t="s">
        <v>47</v>
      </c>
      <c r="F4" s="41"/>
      <c r="H4" s="42" t="s">
        <v>48</v>
      </c>
      <c r="I4" s="42"/>
    </row>
    <row r="5" spans="1:9" ht="18" customHeight="1">
      <c r="B5" s="33">
        <f>COUNTIFS(ΡΑΝΤΕΒΟΥ!$B$3:$B$102, $B$2)</f>
        <v>8</v>
      </c>
      <c r="C5" s="33"/>
      <c r="E5" s="33">
        <f>SUMIFS(ΡΑΝΤΕΒΟΥ!$G$3:$G$102, ΡΑΝΤΕΒΟΥ!$B$3:$B$102, $B$2, ΡΑΝΤΕΒΟΥ!$I$3:$I$102, "&lt;&gt;Ακυρώθηκε")</f>
        <v>11850</v>
      </c>
      <c r="F5" s="33"/>
      <c r="H5" s="43">
        <f>ΡΥΘΜΙΣΕΙΣ!B10</f>
        <v>50400</v>
      </c>
      <c r="I5" s="43"/>
    </row>
    <row r="7" spans="1:9" ht="15" customHeight="1">
      <c r="B7" s="35" t="s">
        <v>49</v>
      </c>
      <c r="C7" s="35"/>
      <c r="E7" s="36" t="s">
        <v>50</v>
      </c>
      <c r="F7" s="36"/>
      <c r="H7" s="37" t="s">
        <v>51</v>
      </c>
      <c r="I7" s="37"/>
    </row>
    <row r="8" spans="1:9" ht="18" customHeight="1">
      <c r="B8" s="38">
        <f>COUNTIFS(ΡΑΝΤΕΒΟΥ!$B$3:$B$102, $B$2, ΡΑΝΤΕΒΟΥ!$I$3:$I$102, "Σε αναμονή")</f>
        <v>5</v>
      </c>
      <c r="C8" s="38"/>
      <c r="E8" s="39">
        <f>COUNTIFS(ΡΑΝΤΕΒΟΥ!$B$3:$B$102, $B$2, ΡΑΝΤΕΒΟΥ!$I$3:$I$102, "Έφτασε") + COUNTIFS(ΡΑΝΤΕΒΟΥ!$B$3:$B$102, $B$2, ΡΑΝΤΕΒΟΥ!$I$3:$I$102, "Σε επεξεργασία")</f>
        <v>0</v>
      </c>
      <c r="F8" s="39"/>
      <c r="H8" s="40">
        <f>COUNTIFS(ΡΑΝΤΕΒΟΥ!$B$3:$B$102, $B$2, ΡΑΝΤΕΒΟΥ!$I$3:$I$102, "Ολοκληρώθηκε")</f>
        <v>0</v>
      </c>
      <c r="I8" s="40"/>
    </row>
    <row r="10" spans="1:9" ht="15" customHeight="1">
      <c r="B10" s="29" t="s">
        <v>52</v>
      </c>
      <c r="C10" s="29"/>
      <c r="E10" s="30" t="s">
        <v>53</v>
      </c>
      <c r="F10" s="30"/>
      <c r="H10" s="31" t="s">
        <v>54</v>
      </c>
      <c r="I10" s="31"/>
    </row>
    <row r="11" spans="1:9" ht="18" customHeight="1">
      <c r="B11" s="32">
        <f>COUNTIFS(ΡΑΝΤΕΒΟΥ!$B$3:$B$102, $B$2, ΡΑΝΤΕΒΟΥ!$I$3:$I$102, "Ακυρώθηκε")</f>
        <v>0</v>
      </c>
      <c r="C11" s="32"/>
      <c r="E11" s="33" t="str">
        <f>IF(E4&gt;H4, "ΥΠΕΡΒΑΣΗ", "ΚΑΝΟΝΙΚΟ")</f>
        <v>ΥΠΕΡΒΑΣΗ</v>
      </c>
      <c r="F11" s="33"/>
      <c r="H11" s="34">
        <f>E5/H5</f>
        <v>0.23511904761904762</v>
      </c>
      <c r="I11" s="34"/>
    </row>
    <row r="14" spans="1:9" ht="15" customHeight="1">
      <c r="A14" s="28" t="s">
        <v>55</v>
      </c>
      <c r="B14" s="28"/>
      <c r="C14" s="28"/>
    </row>
    <row r="15" spans="1:9" ht="15" customHeight="1">
      <c r="A15" s="19" t="s">
        <v>3</v>
      </c>
      <c r="B15" s="19" t="s">
        <v>56</v>
      </c>
      <c r="C15" s="19" t="s">
        <v>57</v>
      </c>
    </row>
    <row r="16" spans="1:9" ht="15" customHeight="1">
      <c r="A16" s="12" t="s">
        <v>58</v>
      </c>
      <c r="B16" s="12">
        <f>'ΗΜΕΡΗΣΙΟ ΠΡΟΓΡΑΜΜΑ'!B5</f>
        <v>0</v>
      </c>
      <c r="C16" s="13">
        <f>'ΗΜΕΡΗΣΙΟ ΠΡΟΓΡΑΜΜΑ'!C5</f>
        <v>0</v>
      </c>
    </row>
    <row r="17" spans="1:3" ht="15" customHeight="1">
      <c r="A17" s="12" t="s">
        <v>59</v>
      </c>
      <c r="B17" s="12">
        <f>'ΗΜΕΡΗΣΙΟ ΠΡΟΓΡΑΜΜΑ'!B6</f>
        <v>0</v>
      </c>
      <c r="C17" s="13">
        <f>'ΗΜΕΡΗΣΙΟ ΠΡΟΓΡΑΜΜΑ'!C6</f>
        <v>0</v>
      </c>
    </row>
    <row r="18" spans="1:3" ht="15" customHeight="1">
      <c r="A18" s="12" t="s">
        <v>60</v>
      </c>
      <c r="B18" s="12">
        <f>'ΗΜΕΡΗΣΙΟ ΠΡΟΓΡΑΜΜΑ'!B7</f>
        <v>0</v>
      </c>
      <c r="C18" s="13">
        <f>'ΗΜΕΡΗΣΙΟ ΠΡΟΓΡΑΜΜΑ'!C7</f>
        <v>0</v>
      </c>
    </row>
    <row r="19" spans="1:3" ht="15" customHeight="1">
      <c r="A19" s="12" t="s">
        <v>61</v>
      </c>
      <c r="B19" s="12">
        <f>'ΗΜΕΡΗΣΙΟ ΠΡΟΓΡΑΜΜΑ'!B8</f>
        <v>0</v>
      </c>
      <c r="C19" s="13">
        <f>'ΗΜΕΡΗΣΙΟ ΠΡΟΓΡΑΜΜΑ'!C8</f>
        <v>0</v>
      </c>
    </row>
    <row r="20" spans="1:3" ht="15" customHeight="1">
      <c r="A20" s="12" t="s">
        <v>11</v>
      </c>
      <c r="B20" s="12">
        <f>'ΗΜΕΡΗΣΙΟ ΠΡΟΓΡΑΜΜΑ'!B9</f>
        <v>2</v>
      </c>
      <c r="C20" s="13">
        <f>'ΗΜΕΡΗΣΙΟ ΠΡΟΓΡΑΜΜΑ'!C9</f>
        <v>1800</v>
      </c>
    </row>
    <row r="21" spans="1:3" ht="15" customHeight="1">
      <c r="A21" s="12" t="s">
        <v>14</v>
      </c>
      <c r="B21" s="12">
        <f>'ΗΜΕΡΗΣΙΟ ΠΡΟΓΡΑΜΜΑ'!B10</f>
        <v>3</v>
      </c>
      <c r="C21" s="13">
        <f>'ΗΜΕΡΗΣΙΟ ΠΡΟΓΡΑΜΜΑ'!C10</f>
        <v>5300</v>
      </c>
    </row>
    <row r="22" spans="1:3" ht="15" customHeight="1">
      <c r="A22" s="12" t="s">
        <v>18</v>
      </c>
      <c r="B22" s="12">
        <f>'ΗΜΕΡΗΣΙΟ ΠΡΟΓΡΑΜΜΑ'!B11</f>
        <v>1</v>
      </c>
      <c r="C22" s="13">
        <f>'ΗΜΕΡΗΣΙΟ ΠΡΟΓΡΑΜΜΑ'!C11</f>
        <v>600</v>
      </c>
    </row>
    <row r="23" spans="1:3" ht="15" customHeight="1">
      <c r="A23" s="12" t="s">
        <v>20</v>
      </c>
      <c r="B23" s="12">
        <f>'ΗΜΕΡΗΣΙΟ ΠΡΟΓΡΑΜΜΑ'!B12</f>
        <v>2</v>
      </c>
      <c r="C23" s="13">
        <f>'ΗΜΕΡΗΣΙΟ ΠΡΟΓΡΑΜΜΑ'!C12</f>
        <v>4150</v>
      </c>
    </row>
    <row r="24" spans="1:3" ht="15" customHeight="1">
      <c r="A24" s="12" t="s">
        <v>62</v>
      </c>
      <c r="B24" s="12">
        <f>'ΗΜΕΡΗΣΙΟ ΠΡΟΓΡΑΜΜΑ'!B13</f>
        <v>0</v>
      </c>
      <c r="C24" s="13">
        <f>'ΗΜΕΡΗΣΙΟ ΠΡΟΓΡΑΜΜΑ'!C13</f>
        <v>0</v>
      </c>
    </row>
    <row r="25" spans="1:3" ht="15" customHeight="1">
      <c r="A25" s="12" t="s">
        <v>63</v>
      </c>
      <c r="B25" s="12">
        <f>'ΗΜΕΡΗΣΙΟ ΠΡΟΓΡΑΜΜΑ'!B14</f>
        <v>0</v>
      </c>
      <c r="C25" s="13">
        <f>'ΗΜΕΡΗΣΙΟ ΠΡΟΓΡΑΜΜΑ'!C14</f>
        <v>0</v>
      </c>
    </row>
    <row r="26" spans="1:3" ht="15" customHeight="1">
      <c r="A26" s="12" t="s">
        <v>64</v>
      </c>
      <c r="B26" s="12">
        <f>'ΗΜΕΡΗΣΙΟ ΠΡΟΓΡΑΜΜΑ'!B15</f>
        <v>0</v>
      </c>
      <c r="C26" s="13">
        <f>'ΗΜΕΡΗΣΙΟ ΠΡΟΓΡΑΜΜΑ'!C15</f>
        <v>0</v>
      </c>
    </row>
    <row r="27" spans="1:3" ht="15" customHeight="1">
      <c r="A27" s="12" t="s">
        <v>65</v>
      </c>
      <c r="B27" s="12">
        <f>'ΗΜΕΡΗΣΙΟ ΠΡΟΓΡΑΜΜΑ'!B16</f>
        <v>0</v>
      </c>
      <c r="C27" s="13">
        <f>'ΗΜΕΡΗΣΙΟ ΠΡΟΓΡΑΜΜΑ'!C16</f>
        <v>0</v>
      </c>
    </row>
  </sheetData>
  <sheetProtection sheet="1"/>
  <mergeCells count="20">
    <mergeCell ref="A1:H1"/>
    <mergeCell ref="B4:C4"/>
    <mergeCell ref="E4:F4"/>
    <mergeCell ref="H4:I4"/>
    <mergeCell ref="B5:C5"/>
    <mergeCell ref="E5:F5"/>
    <mergeCell ref="H5:I5"/>
    <mergeCell ref="B7:C7"/>
    <mergeCell ref="E7:F7"/>
    <mergeCell ref="H7:I7"/>
    <mergeCell ref="B8:C8"/>
    <mergeCell ref="E8:F8"/>
    <mergeCell ref="H8:I8"/>
    <mergeCell ref="A14:C14"/>
    <mergeCell ref="B10:C10"/>
    <mergeCell ref="E10:F10"/>
    <mergeCell ref="H10:I10"/>
    <mergeCell ref="B11:C11"/>
    <mergeCell ref="E11:F11"/>
    <mergeCell ref="H11:I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selection activeCell="B5" sqref="B5"/>
    </sheetView>
  </sheetViews>
  <sheetFormatPr defaultColWidth="8.7109375" defaultRowHeight="15"/>
  <cols>
    <col min="1" max="1" width="42" style="1" customWidth="1"/>
    <col min="2" max="2" width="16" style="1" customWidth="1"/>
    <col min="3" max="3" width="35" style="1" customWidth="1"/>
  </cols>
  <sheetData>
    <row r="1" spans="1:3" ht="20.25" customHeight="1">
      <c r="A1" s="27" t="s">
        <v>66</v>
      </c>
      <c r="B1" s="27"/>
      <c r="C1" s="27"/>
    </row>
    <row r="3" spans="1:3" ht="15" customHeight="1">
      <c r="A3" s="2" t="s">
        <v>67</v>
      </c>
      <c r="B3" s="2" t="s">
        <v>68</v>
      </c>
      <c r="C3" s="2" t="s">
        <v>69</v>
      </c>
    </row>
    <row r="4" spans="1:3" ht="15" customHeight="1">
      <c r="A4" s="20" t="s">
        <v>70</v>
      </c>
      <c r="B4" s="21">
        <v>7</v>
      </c>
      <c r="C4" s="22" t="s">
        <v>71</v>
      </c>
    </row>
    <row r="5" spans="1:3" ht="15" customHeight="1">
      <c r="A5" s="20" t="s">
        <v>72</v>
      </c>
      <c r="B5" s="21">
        <v>600</v>
      </c>
      <c r="C5" s="22" t="s">
        <v>73</v>
      </c>
    </row>
    <row r="6" spans="1:3" ht="15" customHeight="1">
      <c r="A6" s="20" t="s">
        <v>74</v>
      </c>
      <c r="B6" s="21">
        <v>2</v>
      </c>
      <c r="C6" s="22" t="s">
        <v>75</v>
      </c>
    </row>
    <row r="7" spans="1:3" ht="15" customHeight="1">
      <c r="A7" s="20" t="s">
        <v>76</v>
      </c>
      <c r="B7" s="21">
        <v>24</v>
      </c>
      <c r="C7" s="22" t="s">
        <v>75</v>
      </c>
    </row>
    <row r="8" spans="1:3" ht="15" customHeight="1">
      <c r="A8" s="20" t="s">
        <v>77</v>
      </c>
      <c r="B8" s="23">
        <f>B4*B5</f>
        <v>4200</v>
      </c>
      <c r="C8" s="22" t="s">
        <v>78</v>
      </c>
    </row>
    <row r="9" spans="1:3" ht="15" customHeight="1">
      <c r="A9" s="20" t="s">
        <v>79</v>
      </c>
      <c r="B9" s="21">
        <v>12</v>
      </c>
      <c r="C9" s="22" t="s">
        <v>80</v>
      </c>
    </row>
    <row r="10" spans="1:3" ht="15" customHeight="1">
      <c r="A10" s="20" t="s">
        <v>81</v>
      </c>
      <c r="B10" s="23">
        <f>B4*B9*B5</f>
        <v>50400</v>
      </c>
      <c r="C10" s="22" t="s">
        <v>82</v>
      </c>
    </row>
    <row r="13" spans="1:3" ht="15" customHeight="1">
      <c r="A13" s="24" t="s">
        <v>83</v>
      </c>
      <c r="C13" s="24" t="s">
        <v>84</v>
      </c>
    </row>
    <row r="14" spans="1:3" ht="15" customHeight="1">
      <c r="A14" s="12" t="s">
        <v>58</v>
      </c>
      <c r="C14" s="12" t="s">
        <v>85</v>
      </c>
    </row>
    <row r="15" spans="1:3" ht="15" customHeight="1">
      <c r="A15" s="12" t="s">
        <v>59</v>
      </c>
      <c r="C15" s="12" t="s">
        <v>86</v>
      </c>
    </row>
    <row r="16" spans="1:3" ht="15" customHeight="1">
      <c r="A16" s="12" t="s">
        <v>60</v>
      </c>
      <c r="C16" s="12" t="s">
        <v>87</v>
      </c>
    </row>
    <row r="17" spans="1:3" ht="15" customHeight="1">
      <c r="A17" s="12" t="s">
        <v>61</v>
      </c>
      <c r="C17" s="12" t="s">
        <v>88</v>
      </c>
    </row>
    <row r="18" spans="1:3" ht="15" customHeight="1">
      <c r="A18" s="12" t="s">
        <v>11</v>
      </c>
      <c r="C18" s="12" t="s">
        <v>89</v>
      </c>
    </row>
    <row r="19" spans="1:3" ht="15" customHeight="1">
      <c r="A19" s="12" t="s">
        <v>14</v>
      </c>
    </row>
    <row r="20" spans="1:3" ht="15" customHeight="1">
      <c r="A20" s="12" t="s">
        <v>18</v>
      </c>
    </row>
    <row r="21" spans="1:3" ht="15" customHeight="1">
      <c r="A21" s="12" t="s">
        <v>20</v>
      </c>
    </row>
    <row r="22" spans="1:3" ht="15" customHeight="1">
      <c r="A22" s="12" t="s">
        <v>62</v>
      </c>
    </row>
    <row r="23" spans="1:3" ht="15" customHeight="1">
      <c r="A23" s="12" t="s">
        <v>63</v>
      </c>
    </row>
    <row r="24" spans="1:3" ht="15" customHeight="1">
      <c r="A24" s="12" t="s">
        <v>64</v>
      </c>
    </row>
    <row r="25" spans="1:3" ht="15" customHeight="1">
      <c r="A25" s="12" t="s">
        <v>65</v>
      </c>
    </row>
  </sheetData>
  <sheetProtection sheet="1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ΡΑΝΤΕΒΟΥ</vt:lpstr>
      <vt:lpstr>ΗΜΕΡΗΣΙΟ ΠΡΟΓΡΑΜΜΑ</vt:lpstr>
      <vt:lpstr>ΣΥΝΟΨΗ</vt:lpstr>
      <vt:lpstr>ΡΥΘΜΙΣΕΙΣ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2</cp:revision>
  <dcterms:created xsi:type="dcterms:W3CDTF">2026-09-07T19:04:41Z</dcterms:created>
  <dcterms:modified xsi:type="dcterms:W3CDTF">2026-09-24T17:30:02Z</dcterms:modified>
  <dc:language>en-US</dc:language>
</cp:coreProperties>
</file>